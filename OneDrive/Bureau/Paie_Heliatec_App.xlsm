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lado\OneDrive\Bureau\"/>
    </mc:Choice>
  </mc:AlternateContent>
  <xr:revisionPtr revIDLastSave="0" documentId="13_ncr:1_{CF1A1475-0D11-4613-AC27-372A25065919}" xr6:coauthVersionLast="47" xr6:coauthVersionMax="47" xr10:uidLastSave="{00000000-0000-0000-0000-000000000000}"/>
  <bookViews>
    <workbookView xWindow="-120" yWindow="-120" windowWidth="29040" windowHeight="15720" activeTab="6" xr2:uid="{02899A91-61CB-4771-9620-4FC3D25B6D24}"/>
  </bookViews>
  <sheets>
    <sheet name="Welcome" sheetId="1" r:id="rId1"/>
    <sheet name="Identification" sheetId="2" r:id="rId2"/>
    <sheet name="Rubriques" sheetId="3" r:id="rId3"/>
    <sheet name="Personnel" sheetId="4" r:id="rId4"/>
    <sheet name="Saisie" sheetId="5" r:id="rId5"/>
    <sheet name="Bulletin" sheetId="6" r:id="rId6"/>
    <sheet name="Synthèse" sheetId="7" r:id="rId7"/>
    <sheet name="Paid-Data" sheetId="8" r:id="rId8"/>
    <sheet name="Settings" sheetId="9" state="very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9" i="1" l="1"/>
  <c r="I9" i="1"/>
  <c r="E9" i="1"/>
  <c r="A9" i="1"/>
  <c r="I5" i="1"/>
  <c r="A5" i="1"/>
  <c r="H55" i="7"/>
  <c r="B53" i="7"/>
  <c r="D53" i="7" s="1"/>
  <c r="B52" i="7"/>
  <c r="D52" i="7" s="1"/>
  <c r="F51" i="7"/>
  <c r="B51" i="7"/>
  <c r="D51" i="7" s="1"/>
  <c r="E50" i="7"/>
  <c r="B50" i="7"/>
  <c r="D50" i="7" s="1"/>
  <c r="B49" i="7"/>
  <c r="D49" i="7" s="1"/>
  <c r="E48" i="7"/>
  <c r="B48" i="7"/>
  <c r="D48" i="7" s="1"/>
  <c r="F47" i="7"/>
  <c r="E47" i="7"/>
  <c r="B47" i="7"/>
  <c r="D47" i="7" s="1"/>
  <c r="B46" i="7"/>
  <c r="D46" i="7" s="1"/>
  <c r="F45" i="7"/>
  <c r="B45" i="7"/>
  <c r="D45" i="7" s="1"/>
  <c r="B44" i="7"/>
  <c r="D44" i="7" s="1"/>
  <c r="F43" i="7"/>
  <c r="E43" i="7"/>
  <c r="B43" i="7"/>
  <c r="D43" i="7" s="1"/>
  <c r="E42" i="7"/>
  <c r="B42" i="7"/>
  <c r="D42" i="7" s="1"/>
  <c r="B41" i="7"/>
  <c r="D41" i="7" s="1"/>
  <c r="F40" i="7"/>
  <c r="E40" i="7"/>
  <c r="B40" i="7"/>
  <c r="D40" i="7" s="1"/>
  <c r="F39" i="7"/>
  <c r="E39" i="7"/>
  <c r="B39" i="7"/>
  <c r="D39" i="7" s="1"/>
  <c r="B38" i="7"/>
  <c r="D38" i="7" s="1"/>
  <c r="F37" i="7"/>
  <c r="E37" i="7"/>
  <c r="B37" i="7"/>
  <c r="D37" i="7" s="1"/>
  <c r="E36" i="7"/>
  <c r="B36" i="7"/>
  <c r="D36" i="7" s="1"/>
  <c r="B35" i="7"/>
  <c r="D35" i="7" s="1"/>
  <c r="F34" i="7"/>
  <c r="E34" i="7"/>
  <c r="B34" i="7"/>
  <c r="D34" i="7" s="1"/>
  <c r="F33" i="7"/>
  <c r="B33" i="7"/>
  <c r="D33" i="7" s="1"/>
  <c r="B32" i="7"/>
  <c r="D32" i="7" s="1"/>
  <c r="F31" i="7"/>
  <c r="B31" i="7"/>
  <c r="D31" i="7" s="1"/>
  <c r="B30" i="7"/>
  <c r="D30" i="7" s="1"/>
  <c r="F29" i="7"/>
  <c r="E29" i="7"/>
  <c r="B29" i="7"/>
  <c r="D29" i="7" s="1"/>
  <c r="F28" i="7"/>
  <c r="E28" i="7"/>
  <c r="B28" i="7"/>
  <c r="D28" i="7" s="1"/>
  <c r="B27" i="7"/>
  <c r="D27" i="7" s="1"/>
  <c r="F26" i="7"/>
  <c r="E26" i="7"/>
  <c r="B26" i="7"/>
  <c r="D26" i="7" s="1"/>
  <c r="F25" i="7"/>
  <c r="B25" i="7"/>
  <c r="D25" i="7" s="1"/>
  <c r="B24" i="7"/>
  <c r="D24" i="7" s="1"/>
  <c r="F23" i="7"/>
  <c r="B23" i="7"/>
  <c r="D23" i="7" s="1"/>
  <c r="B22" i="7"/>
  <c r="D22" i="7" s="1"/>
  <c r="F21" i="7"/>
  <c r="E21" i="7"/>
  <c r="B21" i="7"/>
  <c r="D21" i="7" s="1"/>
  <c r="F20" i="7"/>
  <c r="E20" i="7"/>
  <c r="B20" i="7"/>
  <c r="D20" i="7" s="1"/>
  <c r="B19" i="7"/>
  <c r="D19" i="7" s="1"/>
  <c r="E18" i="7"/>
  <c r="B18" i="7"/>
  <c r="D18" i="7" s="1"/>
  <c r="F17" i="7"/>
  <c r="E17" i="7"/>
  <c r="B17" i="7"/>
  <c r="D17" i="7" s="1"/>
  <c r="B16" i="7"/>
  <c r="D16" i="7" s="1"/>
  <c r="F15" i="7"/>
  <c r="E15" i="7"/>
  <c r="B15" i="7"/>
  <c r="D15" i="7" s="1"/>
  <c r="F14" i="7"/>
  <c r="B14" i="7"/>
  <c r="D14" i="7" s="1"/>
  <c r="B13" i="7"/>
  <c r="D13" i="7" s="1"/>
  <c r="F12" i="7"/>
  <c r="B12" i="7"/>
  <c r="D12" i="7" s="1"/>
  <c r="B11" i="7"/>
  <c r="D11" i="7" s="1"/>
  <c r="E10" i="7"/>
  <c r="B10" i="7"/>
  <c r="D10" i="7" s="1"/>
  <c r="F9" i="7"/>
  <c r="E9" i="7"/>
  <c r="B9" i="7"/>
  <c r="D9" i="7" s="1"/>
  <c r="B8" i="7"/>
  <c r="D8" i="7" s="1"/>
  <c r="F7" i="7"/>
  <c r="E7" i="7"/>
  <c r="B7" i="7"/>
  <c r="D7" i="7" s="1"/>
  <c r="B6" i="7"/>
  <c r="D6" i="7" s="1"/>
  <c r="A3" i="7"/>
  <c r="D55" i="6"/>
  <c r="J55" i="6" s="1"/>
  <c r="M51" i="6"/>
  <c r="J51" i="6"/>
  <c r="G51" i="6"/>
  <c r="D51" i="6"/>
  <c r="A51" i="6"/>
  <c r="A47" i="6"/>
  <c r="A46" i="6"/>
  <c r="L43" i="6"/>
  <c r="I43" i="6"/>
  <c r="I42" i="6"/>
  <c r="H42" i="6"/>
  <c r="A12" i="6"/>
  <c r="K13" i="6"/>
  <c r="G13" i="6"/>
  <c r="O12" i="6"/>
  <c r="K12" i="6"/>
  <c r="G12" i="6"/>
  <c r="K11" i="6"/>
  <c r="G11" i="6"/>
  <c r="O10" i="6"/>
  <c r="K10" i="6"/>
  <c r="G10" i="6"/>
  <c r="L9" i="6"/>
  <c r="E9" i="6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9" i="5"/>
  <c r="C9" i="5"/>
  <c r="B9" i="5"/>
  <c r="A9" i="5"/>
  <c r="D8" i="5"/>
  <c r="C8" i="5"/>
  <c r="B8" i="5"/>
  <c r="A8" i="5"/>
  <c r="D7" i="5"/>
  <c r="C7" i="5"/>
  <c r="B7" i="5"/>
  <c r="A7" i="5"/>
  <c r="D6" i="5"/>
  <c r="C6" i="5"/>
  <c r="B6" i="5"/>
  <c r="A6" i="5"/>
  <c r="B3" i="5"/>
  <c r="F14" i="2"/>
  <c r="C14" i="2"/>
  <c r="B5" i="9"/>
  <c r="B4" i="9"/>
  <c r="E8" i="7" l="1"/>
  <c r="F13" i="7"/>
  <c r="E16" i="7"/>
  <c r="F24" i="7"/>
  <c r="E27" i="7"/>
  <c r="F32" i="7"/>
  <c r="E35" i="7"/>
  <c r="E41" i="7"/>
  <c r="F46" i="7"/>
  <c r="E49" i="7"/>
  <c r="E13" i="7"/>
  <c r="E32" i="7"/>
  <c r="E46" i="7"/>
  <c r="F8" i="7"/>
  <c r="E11" i="7"/>
  <c r="F16" i="7"/>
  <c r="E19" i="7"/>
  <c r="E22" i="7"/>
  <c r="F27" i="7"/>
  <c r="E30" i="7"/>
  <c r="F35" i="7"/>
  <c r="F41" i="7"/>
  <c r="E44" i="7"/>
  <c r="F49" i="7"/>
  <c r="E52" i="7"/>
  <c r="F10" i="7"/>
  <c r="F18" i="7"/>
  <c r="E24" i="7"/>
  <c r="F11" i="7"/>
  <c r="E14" i="7"/>
  <c r="F22" i="7"/>
  <c r="E25" i="7"/>
  <c r="F30" i="7"/>
  <c r="E33" i="7"/>
  <c r="F44" i="7"/>
  <c r="F52" i="7"/>
  <c r="E12" i="7"/>
  <c r="E23" i="7"/>
  <c r="E31" i="7"/>
  <c r="F36" i="7"/>
  <c r="F42" i="7"/>
  <c r="E45" i="7"/>
  <c r="F50" i="7"/>
  <c r="E53" i="7"/>
  <c r="F53" i="7"/>
  <c r="F48" i="7"/>
  <c r="E51" i="7"/>
  <c r="E38" i="7"/>
  <c r="F6" i="7"/>
  <c r="F19" i="7"/>
  <c r="G6" i="7"/>
  <c r="G7" i="7"/>
  <c r="I7" i="7" s="1"/>
  <c r="G8" i="7"/>
  <c r="I8" i="7" s="1"/>
  <c r="G9" i="7"/>
  <c r="I9" i="7" s="1"/>
  <c r="G10" i="7"/>
  <c r="I10" i="7" s="1"/>
  <c r="G11" i="7"/>
  <c r="I11" i="7" s="1"/>
  <c r="G12" i="7"/>
  <c r="I12" i="7" s="1"/>
  <c r="G13" i="7"/>
  <c r="I13" i="7" s="1"/>
  <c r="G14" i="7"/>
  <c r="I14" i="7" s="1"/>
  <c r="G15" i="7"/>
  <c r="I15" i="7" s="1"/>
  <c r="G16" i="7"/>
  <c r="I16" i="7" s="1"/>
  <c r="G17" i="7"/>
  <c r="I17" i="7" s="1"/>
  <c r="G18" i="7"/>
  <c r="I18" i="7" s="1"/>
  <c r="G19" i="7"/>
  <c r="I19" i="7" s="1"/>
  <c r="G20" i="7"/>
  <c r="I20" i="7" s="1"/>
  <c r="G21" i="7"/>
  <c r="I21" i="7" s="1"/>
  <c r="G22" i="7"/>
  <c r="I22" i="7" s="1"/>
  <c r="G23" i="7"/>
  <c r="I23" i="7" s="1"/>
  <c r="G24" i="7"/>
  <c r="I24" i="7" s="1"/>
  <c r="G25" i="7"/>
  <c r="I25" i="7" s="1"/>
  <c r="G26" i="7"/>
  <c r="I26" i="7" s="1"/>
  <c r="G27" i="7"/>
  <c r="I27" i="7" s="1"/>
  <c r="G28" i="7"/>
  <c r="I28" i="7" s="1"/>
  <c r="G29" i="7"/>
  <c r="I29" i="7" s="1"/>
  <c r="G30" i="7"/>
  <c r="I30" i="7" s="1"/>
  <c r="G31" i="7"/>
  <c r="I31" i="7" s="1"/>
  <c r="G32" i="7"/>
  <c r="I32" i="7" s="1"/>
  <c r="G33" i="7"/>
  <c r="I33" i="7" s="1"/>
  <c r="G34" i="7"/>
  <c r="I34" i="7" s="1"/>
  <c r="G35" i="7"/>
  <c r="I35" i="7" s="1"/>
  <c r="G36" i="7"/>
  <c r="I36" i="7" s="1"/>
  <c r="G37" i="7"/>
  <c r="I37" i="7" s="1"/>
  <c r="G38" i="7"/>
  <c r="I38" i="7" s="1"/>
  <c r="G39" i="7"/>
  <c r="I39" i="7" s="1"/>
  <c r="G40" i="7"/>
  <c r="I40" i="7" s="1"/>
  <c r="G41" i="7"/>
  <c r="I41" i="7" s="1"/>
  <c r="G42" i="7"/>
  <c r="I42" i="7" s="1"/>
  <c r="G43" i="7"/>
  <c r="I43" i="7" s="1"/>
  <c r="G44" i="7"/>
  <c r="I44" i="7" s="1"/>
  <c r="G45" i="7"/>
  <c r="I45" i="7" s="1"/>
  <c r="G46" i="7"/>
  <c r="I46" i="7" s="1"/>
  <c r="G47" i="7"/>
  <c r="I47" i="7" s="1"/>
  <c r="G48" i="7"/>
  <c r="I48" i="7" s="1"/>
  <c r="G49" i="7"/>
  <c r="I49" i="7" s="1"/>
  <c r="G50" i="7"/>
  <c r="I50" i="7" s="1"/>
  <c r="G51" i="7"/>
  <c r="I51" i="7" s="1"/>
  <c r="G52" i="7"/>
  <c r="I52" i="7" s="1"/>
  <c r="G53" i="7"/>
  <c r="I53" i="7" s="1"/>
  <c r="E6" i="7"/>
  <c r="F38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G55" i="7" l="1"/>
  <c r="I6" i="7"/>
  <c r="I55" i="7" s="1"/>
</calcChain>
</file>

<file path=xl/sharedStrings.xml><?xml version="1.0" encoding="utf-8"?>
<sst xmlns="http://schemas.openxmlformats.org/spreadsheetml/2006/main" count="448" uniqueCount="276">
  <si>
    <t>Matricule Actif</t>
  </si>
  <si>
    <t>Mois</t>
  </si>
  <si>
    <t>Avril</t>
  </si>
  <si>
    <t>Année</t>
  </si>
  <si>
    <t>Incrément</t>
  </si>
  <si>
    <t>Nbr Employés</t>
  </si>
  <si>
    <t>Janvier</t>
  </si>
  <si>
    <t>Février</t>
  </si>
  <si>
    <t>Mars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</si>
  <si>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</si>
  <si>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</si>
  <si>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</si>
  <si>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</si>
  <si>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</si>
  <si>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</si>
  <si>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</si>
  <si>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</si>
  <si>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HELIATEC AFRICA MAROC — IDENTIFICATION DE LA SOCIÉTÉ</t>
  </si>
  <si>
    <t>Dénomination</t>
  </si>
  <si>
    <t>HELIATEC AFRICA MAROC</t>
  </si>
  <si>
    <t>NIF</t>
  </si>
  <si>
    <t>Activité</t>
  </si>
  <si>
    <t>Ingénierie &amp; Consulting</t>
  </si>
  <si>
    <t>N° RC</t>
  </si>
  <si>
    <t>Adresse</t>
  </si>
  <si>
    <t>Mohammedia - Maroc</t>
  </si>
  <si>
    <t>Téléphone</t>
  </si>
  <si>
    <t>600 00 00 00</t>
  </si>
  <si>
    <t>Email</t>
  </si>
  <si>
    <t>Site Web</t>
  </si>
  <si>
    <t>Représentant légal</t>
  </si>
  <si>
    <t>Fonction</t>
  </si>
  <si>
    <t>PÉRIODE DE PAIE</t>
  </si>
  <si>
    <t>Période du</t>
  </si>
  <si>
    <t>au</t>
  </si>
  <si>
    <t>PARAMÉTRAGE DES RUBRIQUES DE PAIE — HELIATEC</t>
  </si>
  <si>
    <t>⚡ Jaune = cellules modifiables | Ajouter vos rubriques en bas du tableau</t>
  </si>
  <si>
    <t>Code</t>
  </si>
  <si>
    <t>Libellé</t>
  </si>
  <si>
    <t>Type
(Gain/Retenue)</t>
  </si>
  <si>
    <t>Applicable
(Local/Expat/Tous)</t>
  </si>
  <si>
    <t>Base de calcul</t>
  </si>
  <si>
    <t>Taux (%)</t>
  </si>
  <si>
    <t>Description / Formule de calcul</t>
  </si>
  <si>
    <t>Ordre</t>
  </si>
  <si>
    <t>Actif</t>
  </si>
  <si>
    <t>Salaire de Base</t>
  </si>
  <si>
    <t>Gain</t>
  </si>
  <si>
    <t>Tous</t>
  </si>
  <si>
    <t>Sal.Base/Base_Calcul × Nbre_Jrs</t>
  </si>
  <si>
    <t xml:space="preserve"> = [Salaire de Base] / [Base Calcul] × [Nbre Jrs Travaillés]</t>
  </si>
  <si>
    <t>Oui</t>
  </si>
  <si>
    <t>Montant Jours Fériés</t>
  </si>
  <si>
    <t>Taux_Jr × Nbre_Jrs_Fériés</t>
  </si>
  <si>
    <t xml:space="preserve"> = [Taux / Jr] × [Nbre Jrs Fériés]</t>
  </si>
  <si>
    <t>Montant Congés Payés</t>
  </si>
  <si>
    <t>Taux_Jr × Nbre_Jrs_CP</t>
  </si>
  <si>
    <t xml:space="preserve"> = [Taux / Jr] × [Nbre Jrs CP]</t>
  </si>
  <si>
    <t>Montant Congé de Décès</t>
  </si>
  <si>
    <t>Taux_Jr × Nbre_Jrs_Décès</t>
  </si>
  <si>
    <t xml:space="preserve"> = [Taux / Jr] × [Nbre Jrs Congé Décès]</t>
  </si>
  <si>
    <t>Rappel sur Salaire</t>
  </si>
  <si>
    <t>Montant saisi</t>
  </si>
  <si>
    <t>Montant saisi manuellement dans Saisie</t>
  </si>
  <si>
    <t>Solde de Congés</t>
  </si>
  <si>
    <t>Taux_Jr × Nbre_Jrs_Solde</t>
  </si>
  <si>
    <t xml:space="preserve"> = [Taux / Jr] × [Nbre Jrs Solde Congé]</t>
  </si>
  <si>
    <t>Heures Bank Time</t>
  </si>
  <si>
    <t>Taux_Hr × Nbre_Hrs_BT</t>
  </si>
  <si>
    <t xml:space="preserve"> = [Taux Horaire] × [Nbre Heures Bank Time]</t>
  </si>
  <si>
    <t>Heures Over Time</t>
  </si>
  <si>
    <t>Taux_Hr × Nbre_Hrs_OT</t>
  </si>
  <si>
    <t xml:space="preserve"> = [Taux Horaire] × [Nbre Heures Over Time]</t>
  </si>
  <si>
    <t>Reliquat Pack Logistique</t>
  </si>
  <si>
    <t>Local</t>
  </si>
  <si>
    <t>Montant reliquat pack logistique</t>
  </si>
  <si>
    <t>Packs / Indemnités Spéciales</t>
  </si>
  <si>
    <t>Packs, indemnités spéciales ou bonus</t>
  </si>
  <si>
    <t>Montant Hors Bulletin</t>
  </si>
  <si>
    <t>Montant payé hors bulletin de paie</t>
  </si>
  <si>
    <t>Non</t>
  </si>
  <si>
    <t>Indemnité de Logement</t>
  </si>
  <si>
    <t>Montant fixe</t>
  </si>
  <si>
    <t>Montant mensuel fixe (paramétrable dans Personnel)</t>
  </si>
  <si>
    <t>Frais de Gasoil</t>
  </si>
  <si>
    <t>Frais de carburant mensuel</t>
  </si>
  <si>
    <t>Autre Indemnité</t>
  </si>
  <si>
    <t>Coeff × Nbre_Jrs</t>
  </si>
  <si>
    <t xml:space="preserve"> = [Coefficient] × [Nbre Jrs Travaillés]</t>
  </si>
  <si>
    <t>Reliquat Pack Intégré BS</t>
  </si>
  <si>
    <t>Reliquat pack logistique intégré sur bulletin</t>
  </si>
  <si>
    <t>Salaire de Base Expatrié</t>
  </si>
  <si>
    <t>Expat</t>
  </si>
  <si>
    <t>Sal.Expat/Base_Calcul × Nbre_Jrs</t>
  </si>
  <si>
    <t xml:space="preserve"> = [Sal Base Expat] / [Base Calcul] × [Nbre Jrs Travaillés]</t>
  </si>
  <si>
    <t>Indemnité de Transport Expatrié</t>
  </si>
  <si>
    <t>Montant mensuel fixe expatrié</t>
  </si>
  <si>
    <t>Montant Bank Time Expat</t>
  </si>
  <si>
    <t xml:space="preserve"> = [Taux Horaire Expat] × [Nbre Heures BT]</t>
  </si>
  <si>
    <t>Montant Over Time Expat</t>
  </si>
  <si>
    <t xml:space="preserve"> = [Taux Horaire Expat] × [Nbre Heures OT]</t>
  </si>
  <si>
    <t>Complément Solde Congés Expat</t>
  </si>
  <si>
    <t>Complément de paiement solde congés</t>
  </si>
  <si>
    <t>Rappel Expat (Ancien Salaire)</t>
  </si>
  <si>
    <t>Ancienne_Base/22/8.8 × Nbre_Hrs</t>
  </si>
  <si>
    <t xml:space="preserve"> = [Ancienne Base] / 22 / 8.8 × [Nbre Hrs Ancien Sal]</t>
  </si>
  <si>
    <t>Avance sur Salaire</t>
  </si>
  <si>
    <t>Retenue</t>
  </si>
  <si>
    <t>Montant avance sur salaire accordée</t>
  </si>
  <si>
    <t>Prêt</t>
  </si>
  <si>
    <t>Remboursement mensuel de prêt</t>
  </si>
  <si>
    <t>Loyer</t>
  </si>
  <si>
    <t>Retenue loyer (caution logement)</t>
  </si>
  <si>
    <t>Déductions diverses</t>
  </si>
  <si>
    <t>Autres déductions diverses</t>
  </si>
  <si>
    <t>Amendes &amp; Pénalités</t>
  </si>
  <si>
    <t>Amendes et pénalités diverses</t>
  </si>
  <si>
    <t>Autres retenues</t>
  </si>
  <si>
    <t>Autres retenues non catégorisées</t>
  </si>
  <si>
    <t>Location Véhicule</t>
  </si>
  <si>
    <t>Location véhicule de service expatrié</t>
  </si>
  <si>
    <t>Loyer Expatrié</t>
  </si>
  <si>
    <t>Loyer logement expatrié</t>
  </si>
  <si>
    <t>Autres Déductions Expat</t>
  </si>
  <si>
    <t>Autres déductions expatrié</t>
  </si>
  <si>
    <t>REGISTRE DU PERSONNEL — HELIATEC AFRICA MAROC</t>
  </si>
  <si>
    <t>Matricule</t>
  </si>
  <si>
    <t>MAT HELIATEC</t>
  </si>
  <si>
    <t>SAP Number</t>
  </si>
  <si>
    <t>Nom &amp; Prénom</t>
  </si>
  <si>
    <t>Poste</t>
  </si>
  <si>
    <t>Type
(Local/Expat)</t>
  </si>
  <si>
    <t>Date Embauche</t>
  </si>
  <si>
    <t>Lieu de Mission</t>
  </si>
  <si>
    <t>Projet</t>
  </si>
  <si>
    <t>Devise</t>
  </si>
  <si>
    <t>Type Sal
(M/H)</t>
  </si>
  <si>
    <t>Base Calcul</t>
  </si>
  <si>
    <t>Ind. de Transport</t>
  </si>
  <si>
    <t>Ind. de Logement</t>
  </si>
  <si>
    <t>Frais Gasoil</t>
  </si>
  <si>
    <t>Ind. Transport Expat</t>
  </si>
  <si>
    <t>Statut</t>
  </si>
  <si>
    <t>HAM-001</t>
  </si>
  <si>
    <t>BENSALEM KARIM</t>
  </si>
  <si>
    <t>HSE Manager</t>
  </si>
  <si>
    <t>€</t>
  </si>
  <si>
    <t>M</t>
  </si>
  <si>
    <t>HAM-002</t>
  </si>
  <si>
    <t>EL GAMAH MOUHSSINE</t>
  </si>
  <si>
    <t>Responsable Contrats</t>
  </si>
  <si>
    <t>Casa</t>
  </si>
  <si>
    <t>MAD</t>
  </si>
  <si>
    <t>HAM-003</t>
  </si>
  <si>
    <t>BEZZAOUIYA SIDI MOHAMMED</t>
  </si>
  <si>
    <t>Manager HSE</t>
  </si>
  <si>
    <t>Ben Guérir</t>
  </si>
  <si>
    <t>HAM-004</t>
  </si>
  <si>
    <t>AFSAR RAFI MOHAMMED KAISAR</t>
  </si>
  <si>
    <t>PDS Administration Manager</t>
  </si>
  <si>
    <t>16/05/2022</t>
  </si>
  <si>
    <t>Casablanca</t>
  </si>
  <si>
    <t>$</t>
  </si>
  <si>
    <t>HAM-005</t>
  </si>
  <si>
    <t>BOUALEM SELLAM</t>
  </si>
  <si>
    <t>Engineer Planning</t>
  </si>
  <si>
    <t>20/06/2022</t>
  </si>
  <si>
    <t>H</t>
  </si>
  <si>
    <t>HAM-006</t>
  </si>
  <si>
    <t>BALA MURUGAN</t>
  </si>
  <si>
    <t>Principal Scheduler</t>
  </si>
  <si>
    <t>18/07/2022</t>
  </si>
  <si>
    <t>Laayoune</t>
  </si>
  <si>
    <t>HAM-007</t>
  </si>
  <si>
    <t>OGUZHAN ACIR</t>
  </si>
  <si>
    <t>Senior Field Engineer</t>
  </si>
  <si>
    <t>15/08/2022</t>
  </si>
  <si>
    <t>Jorf</t>
  </si>
  <si>
    <t>HAM-008</t>
  </si>
  <si>
    <t>AGYARE FELIX ADU</t>
  </si>
  <si>
    <t>Disciplined Superintendent</t>
  </si>
  <si>
    <t>22/08/2022</t>
  </si>
  <si>
    <t>SAISIE DES ÉLÉMENTS VARIABLES MENSUELS</t>
  </si>
  <si>
    <t>Période :</t>
  </si>
  <si>
    <t>Collaborateur</t>
  </si>
  <si>
    <t>Type</t>
  </si>
  <si>
    <t>Nbre Jrs
Travaillés</t>
  </si>
  <si>
    <t>Nbre Jrs
Fériés</t>
  </si>
  <si>
    <t>Nbre Jrs
Congés</t>
  </si>
  <si>
    <t>Nbre Jrs
Décès</t>
  </si>
  <si>
    <t>Nbre Jrs
Rappel</t>
  </si>
  <si>
    <t>Nbre Jrs
Solde Congé</t>
  </si>
  <si>
    <t>Nbre Hrs
Bank Time</t>
  </si>
  <si>
    <t>Nbre Hrs
Over Time</t>
  </si>
  <si>
    <t>Reliquat
Pack Log</t>
  </si>
  <si>
    <t>Primes /
Bonus</t>
  </si>
  <si>
    <t>Hors
Bulletin</t>
  </si>
  <si>
    <t>Rappel
Salaire</t>
  </si>
  <si>
    <t>Avance
Salaire</t>
  </si>
  <si>
    <t>Déductions</t>
  </si>
  <si>
    <t>Amendes &amp;
Pénalités</t>
  </si>
  <si>
    <t>LOGO</t>
  </si>
  <si>
    <t>BULLETIN DE PAIE</t>
  </si>
  <si>
    <t>Matricule :</t>
  </si>
  <si>
    <t>Date paiement :</t>
  </si>
  <si>
    <t>Département</t>
  </si>
  <si>
    <t>Ancienneté</t>
  </si>
  <si>
    <t>Sit. Familiale</t>
  </si>
  <si>
    <t>Nbre Enfants</t>
  </si>
  <si>
    <t>N° SAP</t>
  </si>
  <si>
    <t>Date d'embauche</t>
  </si>
  <si>
    <t>Mode Paie</t>
  </si>
  <si>
    <t>Part Salariale</t>
  </si>
  <si>
    <t>Part Patronale</t>
  </si>
  <si>
    <t>N°</t>
  </si>
  <si>
    <t>Désignation</t>
  </si>
  <si>
    <t>Nombre</t>
  </si>
  <si>
    <t>Base</t>
  </si>
  <si>
    <t>Taux</t>
  </si>
  <si>
    <t>(-) Retenue</t>
  </si>
  <si>
    <t>(+) Retenue</t>
  </si>
  <si>
    <t>TOTAL BRUT</t>
  </si>
  <si>
    <t>TOTAL RETENUES SALARIALES</t>
  </si>
  <si>
    <t>NET À PAYER</t>
  </si>
  <si>
    <t>CUMULS DEPUIS DÉBUT D'ANNÉE</t>
  </si>
  <si>
    <t>Salaire Brut</t>
  </si>
  <si>
    <t>Net Imposable</t>
  </si>
  <si>
    <t>Charges Salariales</t>
  </si>
  <si>
    <t>Charges Patronales</t>
  </si>
  <si>
    <t>Jours Travaillés</t>
  </si>
  <si>
    <t>SOLDE DES CONGÉS</t>
  </si>
  <si>
    <t>CP Acquis Période</t>
  </si>
  <si>
    <t>CP Acquis Cumul</t>
  </si>
  <si>
    <t>CP Pris</t>
  </si>
  <si>
    <t>Solde CP</t>
  </si>
  <si>
    <t>SYNTHÈSE MENSUELLE DE PAIE</t>
  </si>
  <si>
    <t>Lieu Mission</t>
  </si>
  <si>
    <t>Total Retenues</t>
  </si>
  <si>
    <t>Net à Payer</t>
  </si>
  <si>
    <t>Statut Paie</t>
  </si>
  <si>
    <t>Commentaire</t>
  </si>
  <si>
    <t>MASSE SALARIALE TOTALE</t>
  </si>
  <si>
    <t>Retenues Salariales</t>
  </si>
  <si>
    <t>Retenues Patronales</t>
  </si>
  <si>
    <t>Nbre Jrs Travaillés</t>
  </si>
  <si>
    <t>Nbre Jrs Fériés</t>
  </si>
  <si>
    <t>Nbre Jrs CP</t>
  </si>
  <si>
    <t>Numéro Mois</t>
  </si>
  <si>
    <t>Date Saisie</t>
  </si>
  <si>
    <t>APPLICATION DE GESTION DE PAIE</t>
  </si>
  <si>
    <t>Effectif Total</t>
  </si>
  <si>
    <t>collaborateurs</t>
  </si>
  <si>
    <t>Bulletins du Mois</t>
  </si>
  <si>
    <t>bulletins générés</t>
  </si>
  <si>
    <t>Masse Salariale</t>
  </si>
  <si>
    <t>Net total (multi-devises)</t>
  </si>
  <si>
    <t>Locaux / Expatriés</t>
  </si>
  <si>
    <t>répartition</t>
  </si>
  <si>
    <t>NAVIGATION</t>
  </si>
  <si>
    <t>Identification</t>
  </si>
  <si>
    <t>Rubriques</t>
  </si>
  <si>
    <t>Personnel</t>
  </si>
  <si>
    <t>Saisie Variables</t>
  </si>
  <si>
    <t>Bulletin de Paie</t>
  </si>
  <si>
    <t>Synthèse</t>
  </si>
  <si>
    <t>Historique</t>
  </si>
  <si>
    <t>Aide</t>
  </si>
  <si>
    <t>Paramètres société</t>
  </si>
  <si>
    <t>Config des rubriques de paie</t>
  </si>
  <si>
    <t>Registre des collaborateurs</t>
  </si>
  <si>
    <t>Éléments mensuels</t>
  </si>
  <si>
    <t>Générer les bulletins</t>
  </si>
  <si>
    <t>Récapitulatif mensuel</t>
  </si>
  <si>
    <t>Données archivées</t>
  </si>
  <si>
    <t>Documentation &amp; Guide</t>
  </si>
  <si>
    <t>Version 1.0  |  Heliatec Africa Maroc  |  Gestion de Paie  | 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</si>
</sst>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000%"/>
    <numFmt numFmtId="165" formatCode="#.##000"/>
    <numFmt numFmtId="166" formatCode="#,#00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6"/>
      <color rgb="FFFFFFFF"/>
      <name val="Calibri"/>
      <family val="2"/>
    </font>
    <font>
      <b/>
      <sz val="10"/>
      <color rgb="FF1F497D"/>
      <name val="Calibri"/>
      <family val="2"/>
    </font>
    <font>
      <sz val="10"/>
      <color rgb="FF323232"/>
      <name val="Calibri"/>
      <family val="2"/>
    </font>
    <font>
      <b/>
      <sz val="11"/>
      <color rgb="FFFFFFFF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4"/>
      <color rgb="FFFFFFFF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i/>
      <sz val="9"/>
      <color rgb="FF4472C4"/>
      <name val="Aptos Narrow"/>
      <family val="2"/>
      <scheme val="minor"/>
    </font>
    <font>
      <sz val="10"/>
      <color rgb="FFFFFFFF"/>
      <name val="Aptos Narrow"/>
      <family val="2"/>
      <scheme val="minor"/>
    </font>
    <font>
      <b/>
      <sz val="10"/>
      <color rgb="FFFFFFFF"/>
      <name val="Calibri"/>
      <family val="2"/>
    </font>
    <font>
      <b/>
      <sz val="11"/>
      <color rgb="FF1F497D"/>
      <name val="Aptos Narrow"/>
      <family val="2"/>
      <scheme val="minor"/>
    </font>
    <font>
      <b/>
      <sz val="11"/>
      <color rgb="FF468250"/>
      <name val="Aptos Narrow"/>
      <family val="2"/>
      <scheme val="minor"/>
    </font>
    <font>
      <sz val="11"/>
      <color rgb="FF468250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9"/>
      <color rgb="FFFFFFFF"/>
      <name val="Calibri"/>
      <family val="2"/>
    </font>
    <font>
      <sz val="10"/>
      <color theme="1"/>
      <name val="Calibri"/>
      <family val="2"/>
    </font>
    <font>
      <b/>
      <sz val="18"/>
      <color rgb="FF1F497D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9"/>
      <color rgb="FF1F497D"/>
      <name val="Calibri"/>
      <family val="2"/>
    </font>
    <font>
      <b/>
      <sz val="12"/>
      <color rgb="FF1F497D"/>
      <name val="Calibri"/>
      <family val="2"/>
    </font>
    <font>
      <sz val="9"/>
      <color rgb="FF323232"/>
      <name val="Calibri"/>
      <family val="2"/>
    </font>
    <font>
      <b/>
      <sz val="14"/>
      <color rgb="FF1F497D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9"/>
      <color theme="1"/>
      <name val="Calibri"/>
      <family val="2"/>
    </font>
    <font>
      <b/>
      <sz val="28"/>
      <color rgb="FFFFFFFF"/>
      <name val="Calibri"/>
      <family val="2"/>
    </font>
    <font>
      <sz val="16"/>
      <color rgb="FFFFC000"/>
      <name val="Aptos Narrow"/>
      <family val="2"/>
      <scheme val="minor"/>
    </font>
    <font>
      <sz val="12"/>
      <color rgb="FFBDD7EE"/>
      <name val="Aptos Narrow"/>
      <family val="2"/>
      <scheme val="minor"/>
    </font>
    <font>
      <sz val="12"/>
      <color rgb="FFFFC000"/>
      <name val="Aptos Narrow"/>
      <family val="2"/>
      <scheme val="minor"/>
    </font>
    <font>
      <b/>
      <sz val="22"/>
      <color rgb="FFFFFFFF"/>
      <name val="Aptos Narrow"/>
      <family val="2"/>
      <scheme val="minor"/>
    </font>
    <font>
      <sz val="9"/>
      <color rgb="FFC8C8C8"/>
      <name val="Aptos Narrow"/>
      <family val="2"/>
      <scheme val="minor"/>
    </font>
    <font>
      <sz val="9"/>
      <color rgb="FFFFC000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8"/>
      <color rgb="FFB4B4B4"/>
      <name val="Aptos Narrow"/>
      <family val="2"/>
      <scheme val="minor"/>
    </font>
    <font>
      <i/>
      <sz val="9"/>
      <color rgb="FFB4B4B4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4325A"/>
        <bgColor indexed="64"/>
      </patternFill>
    </fill>
    <fill>
      <patternFill patternType="solid">
        <fgColor rgb="FF468250"/>
        <bgColor indexed="64"/>
      </patternFill>
    </fill>
    <fill>
      <patternFill patternType="solid">
        <fgColor rgb="FF9664B4"/>
        <bgColor indexed="64"/>
      </patternFill>
    </fill>
    <fill>
      <patternFill patternType="solid">
        <fgColor rgb="FFC86400"/>
        <bgColor indexed="64"/>
      </patternFill>
    </fill>
    <fill>
      <patternFill patternType="solid">
        <fgColor rgb="FF643CA0"/>
        <bgColor indexed="64"/>
      </patternFill>
    </fill>
    <fill>
      <patternFill patternType="solid">
        <fgColor rgb="FF506478"/>
        <bgColor indexed="64"/>
      </patternFill>
    </fill>
    <fill>
      <patternFill patternType="solid">
        <fgColor rgb="FF32503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5" fillId="4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0" fillId="0" borderId="4" xfId="0" applyBorder="1"/>
    <xf numFmtId="0" fontId="4" fillId="3" borderId="4" xfId="0" applyFont="1" applyFill="1" applyBorder="1" applyAlignment="1">
      <alignment horizontal="left" vertical="center"/>
    </xf>
    <xf numFmtId="0" fontId="5" fillId="4" borderId="5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left" vertical="center"/>
    </xf>
    <xf numFmtId="0" fontId="0" fillId="0" borderId="10" xfId="0" applyBorder="1"/>
    <xf numFmtId="0" fontId="4" fillId="3" borderId="10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14" fontId="0" fillId="0" borderId="10" xfId="0" applyNumberFormat="1" applyBorder="1"/>
    <xf numFmtId="0" fontId="4" fillId="3" borderId="10" xfId="0" applyFont="1" applyFill="1" applyBorder="1" applyAlignment="1">
      <alignment horizontal="center" vertical="center"/>
    </xf>
    <xf numFmtId="14" fontId="0" fillId="0" borderId="14" xfId="0" applyNumberFormat="1" applyBorder="1"/>
    <xf numFmtId="0" fontId="8" fillId="6" borderId="1" xfId="0" applyFont="1" applyFill="1" applyBorder="1"/>
    <xf numFmtId="0" fontId="0" fillId="6" borderId="1" xfId="0" applyFill="1" applyBorder="1"/>
    <xf numFmtId="0" fontId="13" fillId="5" borderId="0" xfId="0" applyFont="1" applyFill="1" applyAlignment="1">
      <alignment horizontal="center" vertical="center" wrapText="1"/>
    </xf>
    <xf numFmtId="0" fontId="1" fillId="0" borderId="0" xfId="0" applyFont="1"/>
    <xf numFmtId="0" fontId="14" fillId="4" borderId="1" xfId="0" applyFont="1" applyFill="1" applyBorder="1" applyAlignment="1">
      <alignment horizontal="center"/>
    </xf>
    <xf numFmtId="0" fontId="15" fillId="4" borderId="1" xfId="0" applyFont="1" applyFill="1" applyBorder="1"/>
    <xf numFmtId="0" fontId="16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164" fontId="0" fillId="6" borderId="1" xfId="0" applyNumberFormat="1" applyFill="1" applyBorder="1" applyAlignment="1">
      <alignment horizontal="center"/>
    </xf>
    <xf numFmtId="49" fontId="10" fillId="4" borderId="1" xfId="0" applyNumberFormat="1" applyFont="1" applyFill="1" applyBorder="1"/>
    <xf numFmtId="0" fontId="14" fillId="7" borderId="1" xfId="0" applyFont="1" applyFill="1" applyBorder="1" applyAlignment="1">
      <alignment horizontal="center"/>
    </xf>
    <xf numFmtId="0" fontId="15" fillId="7" borderId="1" xfId="0" applyFont="1" applyFill="1" applyBorder="1"/>
    <xf numFmtId="0" fontId="16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49" fontId="10" fillId="7" borderId="1" xfId="0" applyNumberFormat="1" applyFont="1" applyFill="1" applyBorder="1"/>
    <xf numFmtId="0" fontId="17" fillId="7" borderId="1" xfId="0" applyFont="1" applyFill="1" applyBorder="1"/>
    <xf numFmtId="0" fontId="17" fillId="7" borderId="1" xfId="0" applyFont="1" applyFill="1" applyBorder="1" applyAlignment="1">
      <alignment horizontal="center"/>
    </xf>
    <xf numFmtId="0" fontId="17" fillId="4" borderId="1" xfId="0" applyFont="1" applyFill="1" applyBorder="1"/>
    <xf numFmtId="0" fontId="17" fillId="4" borderId="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4" fillId="7" borderId="1" xfId="0" applyFont="1" applyFill="1" applyBorder="1"/>
    <xf numFmtId="0" fontId="19" fillId="7" borderId="1" xfId="0" applyFont="1" applyFill="1" applyBorder="1"/>
    <xf numFmtId="14" fontId="19" fillId="7" borderId="1" xfId="0" applyNumberFormat="1" applyFont="1" applyFill="1" applyBorder="1"/>
    <xf numFmtId="0" fontId="4" fillId="4" borderId="1" xfId="0" applyFont="1" applyFill="1" applyBorder="1"/>
    <xf numFmtId="0" fontId="19" fillId="4" borderId="1" xfId="0" applyFont="1" applyFill="1" applyBorder="1"/>
    <xf numFmtId="14" fontId="19" fillId="4" borderId="1" xfId="0" applyNumberFormat="1" applyFont="1" applyFill="1" applyBorder="1"/>
    <xf numFmtId="0" fontId="19" fillId="6" borderId="1" xfId="0" applyFont="1" applyFill="1" applyBorder="1"/>
    <xf numFmtId="0" fontId="21" fillId="0" borderId="0" xfId="0" applyFont="1"/>
    <xf numFmtId="0" fontId="14" fillId="6" borderId="0" xfId="0" applyFont="1" applyFill="1"/>
    <xf numFmtId="0" fontId="26" fillId="4" borderId="1" xfId="0" applyFont="1" applyFill="1" applyBorder="1" applyAlignment="1">
      <alignment horizontal="center" vertical="center"/>
    </xf>
    <xf numFmtId="165" fontId="26" fillId="4" borderId="1" xfId="0" applyNumberFormat="1" applyFont="1" applyFill="1" applyBorder="1" applyAlignment="1">
      <alignment horizontal="center" vertical="center"/>
    </xf>
    <xf numFmtId="164" fontId="26" fillId="4" borderId="1" xfId="0" applyNumberFormat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165" fontId="26" fillId="7" borderId="1" xfId="0" applyNumberFormat="1" applyFont="1" applyFill="1" applyBorder="1" applyAlignment="1">
      <alignment horizontal="center" vertical="center"/>
    </xf>
    <xf numFmtId="164" fontId="26" fillId="7" borderId="1" xfId="0" applyNumberFormat="1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165" fontId="26" fillId="4" borderId="7" xfId="0" applyNumberFormat="1" applyFont="1" applyFill="1" applyBorder="1" applyAlignment="1">
      <alignment horizontal="center" vertical="center"/>
    </xf>
    <xf numFmtId="165" fontId="26" fillId="7" borderId="7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/>
    <xf numFmtId="165" fontId="6" fillId="8" borderId="0" xfId="0" applyNumberFormat="1" applyFont="1" applyFill="1"/>
    <xf numFmtId="165" fontId="6" fillId="8" borderId="13" xfId="0" applyNumberFormat="1" applyFont="1" applyFill="1" applyBorder="1"/>
    <xf numFmtId="0" fontId="0" fillId="0" borderId="6" xfId="0" applyBorder="1"/>
    <xf numFmtId="0" fontId="18" fillId="2" borderId="0" xfId="0" applyFont="1" applyFill="1" applyAlignment="1">
      <alignment horizontal="center" vertical="center" wrapText="1"/>
    </xf>
    <xf numFmtId="0" fontId="29" fillId="7" borderId="1" xfId="0" applyFont="1" applyFill="1" applyBorder="1"/>
    <xf numFmtId="165" fontId="29" fillId="7" borderId="1" xfId="0" applyNumberFormat="1" applyFont="1" applyFill="1" applyBorder="1"/>
    <xf numFmtId="0" fontId="29" fillId="4" borderId="1" xfId="0" applyFont="1" applyFill="1" applyBorder="1"/>
    <xf numFmtId="165" fontId="29" fillId="4" borderId="1" xfId="0" applyNumberFormat="1" applyFont="1" applyFill="1" applyBorder="1"/>
    <xf numFmtId="165" fontId="1" fillId="9" borderId="0" xfId="0" applyNumberFormat="1" applyFont="1" applyFill="1"/>
    <xf numFmtId="0" fontId="0" fillId="2" borderId="0" xfId="0" applyFill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0" fontId="12" fillId="5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13" borderId="0" xfId="0" applyFont="1" applyFill="1" applyAlignment="1">
      <alignment horizontal="center"/>
    </xf>
    <xf numFmtId="0" fontId="30" fillId="2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0" fillId="9" borderId="0" xfId="0" applyFill="1"/>
    <xf numFmtId="0" fontId="0" fillId="2" borderId="0" xfId="0" applyFill="1"/>
    <xf numFmtId="0" fontId="32" fillId="2" borderId="0" xfId="0" applyFont="1" applyFill="1"/>
    <xf numFmtId="0" fontId="33" fillId="2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34" fillId="12" borderId="0" xfId="0" applyFont="1" applyFill="1" applyAlignment="1">
      <alignment horizontal="center"/>
    </xf>
    <xf numFmtId="0" fontId="35" fillId="11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34" fillId="9" borderId="0" xfId="0" applyFont="1" applyFill="1" applyAlignment="1">
      <alignment horizontal="center"/>
    </xf>
    <xf numFmtId="0" fontId="34" fillId="13" borderId="0" xfId="0" applyFont="1" applyFill="1" applyAlignment="1">
      <alignment horizontal="center"/>
    </xf>
    <xf numFmtId="0" fontId="36" fillId="2" borderId="0" xfId="0" applyFont="1" applyFill="1"/>
    <xf numFmtId="0" fontId="37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7" fillId="9" borderId="0" xfId="0" applyFont="1" applyFill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4" borderId="0" xfId="0" applyFont="1" applyFill="1" applyAlignment="1">
      <alignment horizontal="center" vertical="center"/>
    </xf>
    <xf numFmtId="0" fontId="34" fillId="5" borderId="0" xfId="0" applyFont="1" applyFill="1" applyAlignment="1">
      <alignment horizontal="center"/>
    </xf>
    <xf numFmtId="0" fontId="39" fillId="2" borderId="0" xfId="0" applyFont="1" applyFill="1" applyAlignment="1">
      <alignment horizontal="center"/>
    </xf>
    <xf numFmtId="0" fontId="37" fillId="8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37" fillId="16" borderId="0" xfId="0" applyFont="1" applyFill="1" applyAlignment="1">
      <alignment horizontal="center" vertical="center"/>
    </xf>
    <xf numFmtId="0" fontId="37" fillId="17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22" fillId="0" borderId="0" xfId="0" applyFont="1"/>
    <xf numFmtId="0" fontId="0" fillId="0" borderId="0" xfId="0"/>
    <xf numFmtId="0" fontId="14" fillId="0" borderId="0" xfId="0" applyFont="1"/>
    <xf numFmtId="0" fontId="1" fillId="0" borderId="0" xfId="0" applyFont="1"/>
    <xf numFmtId="14" fontId="23" fillId="0" borderId="0" xfId="0" applyNumberFormat="1" applyFont="1"/>
    <xf numFmtId="0" fontId="24" fillId="3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4" fillId="3" borderId="4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" fillId="2" borderId="0" xfId="0" applyFont="1" applyFill="1" applyAlignment="1">
      <alignment horizontal="center"/>
    </xf>
    <xf numFmtId="0" fontId="24" fillId="3" borderId="10" xfId="0" applyFont="1" applyFill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5" fillId="3" borderId="6" xfId="0" applyFont="1" applyFill="1" applyBorder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4" fillId="3" borderId="15" xfId="0" applyFont="1" applyFill="1" applyBorder="1" applyAlignment="1">
      <alignment horizontal="left" vertical="center"/>
    </xf>
    <xf numFmtId="0" fontId="13" fillId="5" borderId="0" xfId="0" applyFont="1" applyFill="1" applyAlignment="1">
      <alignment horizontal="center" vertical="center"/>
    </xf>
    <xf numFmtId="0" fontId="24" fillId="3" borderId="6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4" fillId="4" borderId="16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left" vertical="center"/>
    </xf>
    <xf numFmtId="0" fontId="24" fillId="7" borderId="16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left" vertical="center"/>
    </xf>
    <xf numFmtId="0" fontId="24" fillId="3" borderId="8" xfId="0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27" fillId="9" borderId="6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65" fontId="28" fillId="10" borderId="8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165" fontId="1" fillId="3" borderId="0" xfId="0" applyNumberFormat="1" applyFont="1" applyFill="1"/>
    <xf numFmtId="1" fontId="1" fillId="3" borderId="0" xfId="0" applyNumberFormat="1" applyFont="1" applyFill="1"/>
    <xf numFmtId="0" fontId="7" fillId="5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66" fontId="1" fillId="3" borderId="0" xfId="0" applyNumberFormat="1" applyFont="1" applyFill="1"/>
    <xf numFmtId="166" fontId="1" fillId="6" borderId="0" xfId="0" applyNumberFormat="1" applyFont="1" applyFill="1"/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25400</xdr:rowOff>
    </xdr:from>
    <xdr:to>
      <xdr:col>3</xdr:col>
      <xdr:colOff>822325</xdr:colOff>
      <xdr:row>18</xdr:row>
      <xdr:rowOff>222250</xdr:rowOff>
    </xdr:to>
    <xdr:sp macro="modNavigation.Aller_Identification" textlink="">
      <xdr:nvSpPr>
        <xdr:cNvPr id="2" name="Rectangle 1">
          <a:extLst>
            <a:ext uri="{FF2B5EF4-FFF2-40B4-BE49-F238E27FC236}">
              <a16:creationId xmlns:a16="http://schemas.microsoft.com/office/drawing/2014/main" id="{C3074BFD-6186-DE9A-0D44-BFB8AFCA8EFF}"/>
            </a:ext>
          </a:extLst>
        </xdr:cNvPr>
        <xdr:cNvSpPr/>
      </xdr:nvSpPr>
      <xdr:spPr>
        <a:xfrm>
          <a:off x="25400" y="3492500"/>
          <a:ext cx="3340100" cy="1187450"/>
        </a:xfrm>
        <a:prstGeom prst="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Identification</a:t>
          </a:r>
        </a:p>
      </xdr:txBody>
    </xdr:sp>
    <xdr:clientData/>
  </xdr:twoCellAnchor>
  <xdr:twoCellAnchor>
    <xdr:from>
      <xdr:col>4</xdr:col>
      <xdr:colOff>25400</xdr:colOff>
      <xdr:row>14</xdr:row>
      <xdr:rowOff>25400</xdr:rowOff>
    </xdr:from>
    <xdr:to>
      <xdr:col>7</xdr:col>
      <xdr:colOff>822325</xdr:colOff>
      <xdr:row>18</xdr:row>
      <xdr:rowOff>222250</xdr:rowOff>
    </xdr:to>
    <xdr:sp macro="modNavigation.Aller_Rubriques" textlink="">
      <xdr:nvSpPr>
        <xdr:cNvPr id="3" name="Rectangle 2">
          <a:extLst>
            <a:ext uri="{FF2B5EF4-FFF2-40B4-BE49-F238E27FC236}">
              <a16:creationId xmlns:a16="http://schemas.microsoft.com/office/drawing/2014/main" id="{C5CE91A8-8D2E-8D2E-F055-02B82158A547}"/>
            </a:ext>
          </a:extLst>
        </xdr:cNvPr>
        <xdr:cNvSpPr/>
      </xdr:nvSpPr>
      <xdr:spPr>
        <a:xfrm>
          <a:off x="3416300" y="3492500"/>
          <a:ext cx="3340100" cy="1187450"/>
        </a:xfrm>
        <a:prstGeom prst="rect">
          <a:avLst/>
        </a:prstGeom>
        <a:solidFill>
          <a:srgbClr val="B48C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Rubriques</a:t>
          </a:r>
        </a:p>
      </xdr:txBody>
    </xdr:sp>
    <xdr:clientData/>
  </xdr:twoCellAnchor>
  <xdr:twoCellAnchor>
    <xdr:from>
      <xdr:col>8</xdr:col>
      <xdr:colOff>25400</xdr:colOff>
      <xdr:row>14</xdr:row>
      <xdr:rowOff>25400</xdr:rowOff>
    </xdr:from>
    <xdr:to>
      <xdr:col>11</xdr:col>
      <xdr:colOff>822325</xdr:colOff>
      <xdr:row>18</xdr:row>
      <xdr:rowOff>222250</xdr:rowOff>
    </xdr:to>
    <xdr:sp macro="modNavigation.Aller_Personnel" textlink="">
      <xdr:nvSpPr>
        <xdr:cNvPr id="4" name="Rectangle 3">
          <a:extLst>
            <a:ext uri="{FF2B5EF4-FFF2-40B4-BE49-F238E27FC236}">
              <a16:creationId xmlns:a16="http://schemas.microsoft.com/office/drawing/2014/main" id="{80255177-2AA9-0C60-CFD6-5F7114C7765E}"/>
            </a:ext>
          </a:extLst>
        </xdr:cNvPr>
        <xdr:cNvSpPr/>
      </xdr:nvSpPr>
      <xdr:spPr>
        <a:xfrm>
          <a:off x="6807200" y="3492500"/>
          <a:ext cx="3340100" cy="1187450"/>
        </a:xfrm>
        <a:prstGeom prst="rect">
          <a:avLst/>
        </a:prstGeom>
        <a:solidFill>
          <a:srgbClr val="4682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Personnel</a:t>
          </a:r>
        </a:p>
      </xdr:txBody>
    </xdr:sp>
    <xdr:clientData/>
  </xdr:twoCellAnchor>
  <xdr:twoCellAnchor>
    <xdr:from>
      <xdr:col>12</xdr:col>
      <xdr:colOff>25400</xdr:colOff>
      <xdr:row>14</xdr:row>
      <xdr:rowOff>25400</xdr:rowOff>
    </xdr:from>
    <xdr:to>
      <xdr:col>15</xdr:col>
      <xdr:colOff>822325</xdr:colOff>
      <xdr:row>18</xdr:row>
      <xdr:rowOff>222250</xdr:rowOff>
    </xdr:to>
    <xdr:sp macro="modNavigation.Aller_Saisie" textlink="">
      <xdr:nvSpPr>
        <xdr:cNvPr id="5" name="Rectangle 4">
          <a:extLst>
            <a:ext uri="{FF2B5EF4-FFF2-40B4-BE49-F238E27FC236}">
              <a16:creationId xmlns:a16="http://schemas.microsoft.com/office/drawing/2014/main" id="{DBC2227F-AD2A-B479-0DAA-5259B6F19A53}"/>
            </a:ext>
          </a:extLst>
        </xdr:cNvPr>
        <xdr:cNvSpPr/>
      </xdr:nvSpPr>
      <xdr:spPr>
        <a:xfrm>
          <a:off x="10198100" y="3492500"/>
          <a:ext cx="3340100" cy="1187450"/>
        </a:xfrm>
        <a:prstGeom prst="rect">
          <a:avLst/>
        </a:prstGeom>
        <a:solidFill>
          <a:srgbClr val="C864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Saisie Variables</a:t>
          </a:r>
        </a:p>
      </xdr:txBody>
    </xdr:sp>
    <xdr:clientData/>
  </xdr:twoCellAnchor>
  <xdr:twoCellAnchor>
    <xdr:from>
      <xdr:col>0</xdr:col>
      <xdr:colOff>25400</xdr:colOff>
      <xdr:row>20</xdr:row>
      <xdr:rowOff>25400</xdr:rowOff>
    </xdr:from>
    <xdr:to>
      <xdr:col>3</xdr:col>
      <xdr:colOff>822325</xdr:colOff>
      <xdr:row>24</xdr:row>
      <xdr:rowOff>222250</xdr:rowOff>
    </xdr:to>
    <xdr:sp macro="modNavigation.Aller_Bulletin" textlink="">
      <xdr:nvSpPr>
        <xdr:cNvPr id="6" name="Rectangle 5">
          <a:extLst>
            <a:ext uri="{FF2B5EF4-FFF2-40B4-BE49-F238E27FC236}">
              <a16:creationId xmlns:a16="http://schemas.microsoft.com/office/drawing/2014/main" id="{DAAAE699-1577-041F-DFF9-A106F9E55243}"/>
            </a:ext>
          </a:extLst>
        </xdr:cNvPr>
        <xdr:cNvSpPr/>
      </xdr:nvSpPr>
      <xdr:spPr>
        <a:xfrm>
          <a:off x="25400" y="4921250"/>
          <a:ext cx="3340100" cy="1187450"/>
        </a:xfrm>
        <a:prstGeom prst="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Bulletin de Paie</a:t>
          </a:r>
        </a:p>
      </xdr:txBody>
    </xdr:sp>
    <xdr:clientData/>
  </xdr:twoCellAnchor>
  <xdr:twoCellAnchor>
    <xdr:from>
      <xdr:col>4</xdr:col>
      <xdr:colOff>25400</xdr:colOff>
      <xdr:row>20</xdr:row>
      <xdr:rowOff>25400</xdr:rowOff>
    </xdr:from>
    <xdr:to>
      <xdr:col>7</xdr:col>
      <xdr:colOff>822325</xdr:colOff>
      <xdr:row>24</xdr:row>
      <xdr:rowOff>222250</xdr:rowOff>
    </xdr:to>
    <xdr:sp macro="modNavigation.Aller_Synthese" textlink="">
      <xdr:nvSpPr>
        <xdr:cNvPr id="7" name="Rectangle 6">
          <a:extLst>
            <a:ext uri="{FF2B5EF4-FFF2-40B4-BE49-F238E27FC236}">
              <a16:creationId xmlns:a16="http://schemas.microsoft.com/office/drawing/2014/main" id="{AE6CCD02-7DF4-2AC2-F44C-0005AD3449C3}"/>
            </a:ext>
          </a:extLst>
        </xdr:cNvPr>
        <xdr:cNvSpPr/>
      </xdr:nvSpPr>
      <xdr:spPr>
        <a:xfrm>
          <a:off x="3416300" y="4921250"/>
          <a:ext cx="3340100" cy="1187450"/>
        </a:xfrm>
        <a:prstGeom prst="rect">
          <a:avLst/>
        </a:prstGeom>
        <a:solidFill>
          <a:srgbClr val="643C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Synthèse</a:t>
          </a:r>
        </a:p>
      </xdr:txBody>
    </xdr:sp>
    <xdr:clientData/>
  </xdr:twoCellAnchor>
  <xdr:twoCellAnchor>
    <xdr:from>
      <xdr:col>8</xdr:col>
      <xdr:colOff>25400</xdr:colOff>
      <xdr:row>20</xdr:row>
      <xdr:rowOff>25400</xdr:rowOff>
    </xdr:from>
    <xdr:to>
      <xdr:col>11</xdr:col>
      <xdr:colOff>822325</xdr:colOff>
      <xdr:row>24</xdr:row>
      <xdr:rowOff>222250</xdr:rowOff>
    </xdr:to>
    <xdr:sp macro="modNavigation.Aller_PaidData" textlink="">
      <xdr:nvSpPr>
        <xdr:cNvPr id="8" name="Rectangle 7">
          <a:extLst>
            <a:ext uri="{FF2B5EF4-FFF2-40B4-BE49-F238E27FC236}">
              <a16:creationId xmlns:a16="http://schemas.microsoft.com/office/drawing/2014/main" id="{C25C57C0-78C6-B5A4-57FF-31C216B68CB8}"/>
            </a:ext>
          </a:extLst>
        </xdr:cNvPr>
        <xdr:cNvSpPr/>
      </xdr:nvSpPr>
      <xdr:spPr>
        <a:xfrm>
          <a:off x="6807200" y="4921250"/>
          <a:ext cx="3340100" cy="1187450"/>
        </a:xfrm>
        <a:prstGeom prst="rect">
          <a:avLst/>
        </a:prstGeom>
        <a:solidFill>
          <a:srgbClr val="5064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12</xdr:col>
      <xdr:colOff>25400</xdr:colOff>
      <xdr:row>20</xdr:row>
      <xdr:rowOff>25400</xdr:rowOff>
    </xdr:from>
    <xdr:to>
      <xdr:col>15</xdr:col>
      <xdr:colOff>822325</xdr:colOff>
      <xdr:row>24</xdr:row>
      <xdr:rowOff>222250</xdr:rowOff>
    </xdr:to>
    <xdr:sp macro="modNavigation.Aller_Welcome" textlink="">
      <xdr:nvSpPr>
        <xdr:cNvPr id="9" name="Rectangle 8">
          <a:extLst>
            <a:ext uri="{FF2B5EF4-FFF2-40B4-BE49-F238E27FC236}">
              <a16:creationId xmlns:a16="http://schemas.microsoft.com/office/drawing/2014/main" id="{541A9738-F0EA-7E05-5FB4-29693FD1C060}"/>
            </a:ext>
          </a:extLst>
        </xdr:cNvPr>
        <xdr:cNvSpPr/>
      </xdr:nvSpPr>
      <xdr:spPr>
        <a:xfrm>
          <a:off x="10198100" y="4921250"/>
          <a:ext cx="3340100" cy="118745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12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660400</xdr:colOff>
      <xdr:row>1</xdr:row>
      <xdr:rowOff>31750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3A99D8C8-AE2B-4D67-1571-EB61D2187637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460375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C270759C-4EFB-CCED-B67B-C4E6F9D9525E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60325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6B2D5F5D-3ACE-02A8-2BE8-AD1622E246A6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  <xdr:twoCellAnchor>
    <xdr:from>
      <xdr:col>2</xdr:col>
      <xdr:colOff>711200</xdr:colOff>
      <xdr:row>0</xdr:row>
      <xdr:rowOff>25400</xdr:rowOff>
    </xdr:from>
    <xdr:to>
      <xdr:col>3</xdr:col>
      <xdr:colOff>1762125</xdr:colOff>
      <xdr:row>0</xdr:row>
      <xdr:rowOff>279400</xdr:rowOff>
    </xdr:to>
    <xdr:sp macro="modBulletin.Nouveau_Collaborateur" textlink="">
      <xdr:nvSpPr>
        <xdr:cNvPr id="3" name="Rectangle 2">
          <a:extLst>
            <a:ext uri="{FF2B5EF4-FFF2-40B4-BE49-F238E27FC236}">
              <a16:creationId xmlns:a16="http://schemas.microsoft.com/office/drawing/2014/main" id="{8A0CFD66-BB5F-354D-6CF6-0AAFCF896E53}"/>
            </a:ext>
          </a:extLst>
        </xdr:cNvPr>
        <xdr:cNvSpPr/>
      </xdr:nvSpPr>
      <xdr:spPr>
        <a:xfrm>
          <a:off x="2540000" y="25400"/>
          <a:ext cx="2032000" cy="254000"/>
        </a:xfrm>
        <a:prstGeom prst="rect">
          <a:avLst/>
        </a:prstGeom>
        <a:solidFill>
          <a:srgbClr val="4682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+ Nouveau Collaborateur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60325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0A1A7308-EA8E-B42A-DA2D-0CB4CC0146BD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56</xdr:row>
      <xdr:rowOff>12700</xdr:rowOff>
    </xdr:from>
    <xdr:to>
      <xdr:col>2</xdr:col>
      <xdr:colOff>301625</xdr:colOff>
      <xdr:row>57</xdr:row>
      <xdr:rowOff>292100</xdr:rowOff>
    </xdr:to>
    <xdr:sp macro="modBulletin.Employe_Precedent" textlink="">
      <xdr:nvSpPr>
        <xdr:cNvPr id="2" name="Rectangle 1">
          <a:extLst>
            <a:ext uri="{FF2B5EF4-FFF2-40B4-BE49-F238E27FC236}">
              <a16:creationId xmlns:a16="http://schemas.microsoft.com/office/drawing/2014/main" id="{9258BC78-D147-1284-290B-48E75C0B8CEB}"/>
            </a:ext>
          </a:extLst>
        </xdr:cNvPr>
        <xdr:cNvSpPr/>
      </xdr:nvSpPr>
      <xdr:spPr>
        <a:xfrm>
          <a:off x="12700" y="12404725"/>
          <a:ext cx="917575" cy="584200"/>
        </a:xfrm>
        <a:prstGeom prst="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◀ Précédent</a:t>
          </a:r>
        </a:p>
      </xdr:txBody>
    </xdr:sp>
    <xdr:clientData/>
  </xdr:twoCellAnchor>
  <xdr:twoCellAnchor>
    <xdr:from>
      <xdr:col>3</xdr:col>
      <xdr:colOff>12700</xdr:colOff>
      <xdr:row>56</xdr:row>
      <xdr:rowOff>12700</xdr:rowOff>
    </xdr:from>
    <xdr:to>
      <xdr:col>5</xdr:col>
      <xdr:colOff>568325</xdr:colOff>
      <xdr:row>57</xdr:row>
      <xdr:rowOff>292100</xdr:rowOff>
    </xdr:to>
    <xdr:sp macro="modBulletin.Employe_Suivant" textlink="">
      <xdr:nvSpPr>
        <xdr:cNvPr id="3" name="Rectangle 2">
          <a:extLst>
            <a:ext uri="{FF2B5EF4-FFF2-40B4-BE49-F238E27FC236}">
              <a16:creationId xmlns:a16="http://schemas.microsoft.com/office/drawing/2014/main" id="{EB9D6CA7-7CCA-02B3-0ADB-8F1F72F65F93}"/>
            </a:ext>
          </a:extLst>
        </xdr:cNvPr>
        <xdr:cNvSpPr/>
      </xdr:nvSpPr>
      <xdr:spPr>
        <a:xfrm>
          <a:off x="955675" y="12404725"/>
          <a:ext cx="2117725" cy="584200"/>
        </a:xfrm>
        <a:prstGeom prst="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▶ Suivant</a:t>
          </a:r>
        </a:p>
      </xdr:txBody>
    </xdr:sp>
    <xdr:clientData/>
  </xdr:twoCellAnchor>
  <xdr:twoCellAnchor>
    <xdr:from>
      <xdr:col>6</xdr:col>
      <xdr:colOff>12700</xdr:colOff>
      <xdr:row>56</xdr:row>
      <xdr:rowOff>12700</xdr:rowOff>
    </xdr:from>
    <xdr:to>
      <xdr:col>8</xdr:col>
      <xdr:colOff>968375</xdr:colOff>
      <xdr:row>57</xdr:row>
      <xdr:rowOff>292100</xdr:rowOff>
    </xdr:to>
    <xdr:sp macro="modBulletin.Charger_Bulletin" textlink="">
      <xdr:nvSpPr>
        <xdr:cNvPr id="4" name="Rectangle 3">
          <a:extLst>
            <a:ext uri="{FF2B5EF4-FFF2-40B4-BE49-F238E27FC236}">
              <a16:creationId xmlns:a16="http://schemas.microsoft.com/office/drawing/2014/main" id="{AABBF5B8-0165-0B32-FE21-3ABFA07349E6}"/>
            </a:ext>
          </a:extLst>
        </xdr:cNvPr>
        <xdr:cNvSpPr/>
      </xdr:nvSpPr>
      <xdr:spPr>
        <a:xfrm>
          <a:off x="3098800" y="12404725"/>
          <a:ext cx="2517775" cy="584200"/>
        </a:xfrm>
        <a:prstGeom prst="rect">
          <a:avLst/>
        </a:prstGeom>
        <a:solidFill>
          <a:srgbClr val="4682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⟳ Charger</a:t>
          </a:r>
        </a:p>
      </xdr:txBody>
    </xdr:sp>
    <xdr:clientData/>
  </xdr:twoCellAnchor>
  <xdr:twoCellAnchor>
    <xdr:from>
      <xdr:col>9</xdr:col>
      <xdr:colOff>12700</xdr:colOff>
      <xdr:row>56</xdr:row>
      <xdr:rowOff>12700</xdr:rowOff>
    </xdr:from>
    <xdr:to>
      <xdr:col>11</xdr:col>
      <xdr:colOff>968375</xdr:colOff>
      <xdr:row>57</xdr:row>
      <xdr:rowOff>292100</xdr:rowOff>
    </xdr:to>
    <xdr:sp macro="modBulletin.Valider_Bulletin" textlink="">
      <xdr:nvSpPr>
        <xdr:cNvPr id="5" name="Rectangle 4">
          <a:extLst>
            <a:ext uri="{FF2B5EF4-FFF2-40B4-BE49-F238E27FC236}">
              <a16:creationId xmlns:a16="http://schemas.microsoft.com/office/drawing/2014/main" id="{ED90F8A5-3349-F7D0-DA28-BEBF17C707D8}"/>
            </a:ext>
          </a:extLst>
        </xdr:cNvPr>
        <xdr:cNvSpPr/>
      </xdr:nvSpPr>
      <xdr:spPr>
        <a:xfrm>
          <a:off x="5641975" y="12404725"/>
          <a:ext cx="2517775" cy="584200"/>
        </a:xfrm>
        <a:prstGeom prst="rect">
          <a:avLst/>
        </a:prstGeom>
        <a:solidFill>
          <a:srgbClr val="C88C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✔ Valider</a:t>
          </a:r>
        </a:p>
      </xdr:txBody>
    </xdr:sp>
    <xdr:clientData/>
  </xdr:twoCellAnchor>
  <xdr:twoCellAnchor>
    <xdr:from>
      <xdr:col>12</xdr:col>
      <xdr:colOff>12700</xdr:colOff>
      <xdr:row>56</xdr:row>
      <xdr:rowOff>12700</xdr:rowOff>
    </xdr:from>
    <xdr:to>
      <xdr:col>14</xdr:col>
      <xdr:colOff>968375</xdr:colOff>
      <xdr:row>57</xdr:row>
      <xdr:rowOff>292100</xdr:rowOff>
    </xdr:to>
    <xdr:sp macro="modBulletin.Imprimer_Bulletin" textlink="">
      <xdr:nvSpPr>
        <xdr:cNvPr id="6" name="Rectangle 5">
          <a:extLst>
            <a:ext uri="{FF2B5EF4-FFF2-40B4-BE49-F238E27FC236}">
              <a16:creationId xmlns:a16="http://schemas.microsoft.com/office/drawing/2014/main" id="{80EF39DA-26A3-9964-5D34-2BB0A011347F}"/>
            </a:ext>
          </a:extLst>
        </xdr:cNvPr>
        <xdr:cNvSpPr/>
      </xdr:nvSpPr>
      <xdr:spPr>
        <a:xfrm>
          <a:off x="8185150" y="12404725"/>
          <a:ext cx="2517775" cy="5842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🖨 Imprimer</a:t>
          </a:r>
        </a:p>
      </xdr:txBody>
    </xdr:sp>
    <xdr:clientData/>
  </xdr:twoCellAnchor>
  <xdr:twoCellAnchor>
    <xdr:from>
      <xdr:col>0</xdr:col>
      <xdr:colOff>12700</xdr:colOff>
      <xdr:row>58</xdr:row>
      <xdr:rowOff>12700</xdr:rowOff>
    </xdr:from>
    <xdr:to>
      <xdr:col>4</xdr:col>
      <xdr:colOff>1235075</xdr:colOff>
      <xdr:row>59</xdr:row>
      <xdr:rowOff>177800</xdr:rowOff>
    </xdr:to>
    <xdr:sp macro="modBulletin.Valider_Tous_Bulletins" textlink="">
      <xdr:nvSpPr>
        <xdr:cNvPr id="7" name="Rectangle 6">
          <a:extLst>
            <a:ext uri="{FF2B5EF4-FFF2-40B4-BE49-F238E27FC236}">
              <a16:creationId xmlns:a16="http://schemas.microsoft.com/office/drawing/2014/main" id="{01C012F6-EDEB-714B-77D5-2C4A6778F145}"/>
            </a:ext>
          </a:extLst>
        </xdr:cNvPr>
        <xdr:cNvSpPr/>
      </xdr:nvSpPr>
      <xdr:spPr>
        <a:xfrm>
          <a:off x="12700" y="13014325"/>
          <a:ext cx="2479675" cy="355600"/>
        </a:xfrm>
        <a:prstGeom prst="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MA" sz="900" b="1">
              <a:solidFill>
                <a:srgbClr val="FFFFFF"/>
              </a:solidFill>
            </a:rPr>
            <a:t>✔✔ Valider TOUS les bulletins du mois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460375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071EDA86-D2C1-224C-7B42-07975D877920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  <xdr:twoCellAnchor>
    <xdr:from>
      <xdr:col>5</xdr:col>
      <xdr:colOff>444500</xdr:colOff>
      <xdr:row>0</xdr:row>
      <xdr:rowOff>25400</xdr:rowOff>
    </xdr:from>
    <xdr:to>
      <xdr:col>7</xdr:col>
      <xdr:colOff>260350</xdr:colOff>
      <xdr:row>0</xdr:row>
      <xdr:rowOff>279400</xdr:rowOff>
    </xdr:to>
    <xdr:sp macro="modBulletin.Exporter_Synthese_PDF" textlink="">
      <xdr:nvSpPr>
        <xdr:cNvPr id="3" name="Rectangle 2">
          <a:extLst>
            <a:ext uri="{FF2B5EF4-FFF2-40B4-BE49-F238E27FC236}">
              <a16:creationId xmlns:a16="http://schemas.microsoft.com/office/drawing/2014/main" id="{6696EFD5-817C-C19F-8E32-76739564119C}"/>
            </a:ext>
          </a:extLst>
        </xdr:cNvPr>
        <xdr:cNvSpPr/>
      </xdr:nvSpPr>
      <xdr:spPr>
        <a:xfrm>
          <a:off x="6350000" y="25400"/>
          <a:ext cx="1778000" cy="254000"/>
        </a:xfrm>
        <a:prstGeom prst="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⬇ Exporter PDF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25400</xdr:rowOff>
    </xdr:from>
    <xdr:to>
      <xdr:col>1</xdr:col>
      <xdr:colOff>60325</xdr:colOff>
      <xdr:row>0</xdr:row>
      <xdr:rowOff>279400</xdr:rowOff>
    </xdr:to>
    <xdr:sp macro="modNavigation.Aller_Welcome" textlink="">
      <xdr:nvSpPr>
        <xdr:cNvPr id="2" name="Rectangle 1">
          <a:extLst>
            <a:ext uri="{FF2B5EF4-FFF2-40B4-BE49-F238E27FC236}">
              <a16:creationId xmlns:a16="http://schemas.microsoft.com/office/drawing/2014/main" id="{47A69FF0-CC77-8358-CC5C-4F259D1FE735}"/>
            </a:ext>
          </a:extLst>
        </xdr:cNvPr>
        <xdr:cNvSpPr/>
      </xdr:nvSpPr>
      <xdr:spPr>
        <a:xfrm>
          <a:off x="25400" y="25400"/>
          <a:ext cx="1016000" cy="254000"/>
        </a:xfrm>
        <a:prstGeom prst="rect">
          <a:avLst/>
        </a:prstGeom>
        <a:solidFill>
          <a:srgbClr val="1F49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MA" sz="900" b="1">
              <a:solidFill>
                <a:srgbClr val="FFFFFF"/>
              </a:solidFill>
            </a:rPr>
            <a:t>← Accueil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7FD84-A6E9-4F11-8635-EC167F5DE1ED}">
  <sheetPr codeName="Feuil1">
    <tabColor rgb="FF1F497D"/>
  </sheetPr>
  <dimension ref="A1:P50"/>
  <sheetViews>
    <sheetView showGridLines="0" workbookViewId="0"/>
  </sheetViews>
  <sheetFormatPr baseColWidth="10" defaultRowHeight="15" x14ac:dyDescent="0.25"/>
  <cols>
    <col min="1" max="16" width="12.7109375" customWidth="1"/>
  </cols>
  <sheetData>
    <row r="1" spans="1:16" ht="9.9499999999999993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50.1" customHeight="1" x14ac:dyDescent="0.55000000000000004">
      <c r="A2" s="79" t="s">
        <v>19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</row>
    <row r="3" spans="1:16" ht="30" customHeight="1" x14ac:dyDescent="0.35">
      <c r="A3" s="80" t="s">
        <v>249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</row>
    <row r="4" spans="1:16" ht="6" customHeight="1" x14ac:dyDescent="0.25">
      <c r="A4" s="81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</row>
    <row r="5" spans="1:16" ht="21.95" customHeight="1" x14ac:dyDescent="0.25">
      <c r="A5" s="83" t="str">
        <f>"📅  Période active : "&amp;Identification!C12&amp;" "&amp;Identification!C13</f>
        <v>📅  Période active : Avril 2026</v>
      </c>
      <c r="B5" s="82"/>
      <c r="C5" s="82"/>
      <c r="D5" s="82"/>
      <c r="E5" s="82"/>
      <c r="F5" s="82"/>
      <c r="G5" s="82"/>
      <c r="H5" s="82"/>
      <c r="I5" s="84" t="str">
        <f>Settings!B5&amp;" collaborateurs"</f>
        <v>9 collaborateurs</v>
      </c>
      <c r="J5" s="77"/>
      <c r="K5" s="77"/>
      <c r="L5" s="77"/>
      <c r="M5" s="77"/>
      <c r="N5" s="77"/>
      <c r="O5" s="77"/>
      <c r="P5" s="77"/>
    </row>
    <row r="6" spans="1:1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ht="12" customHeight="1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</row>
    <row r="8" spans="1:16" ht="21.95" customHeight="1" x14ac:dyDescent="0.25">
      <c r="A8" s="76" t="s">
        <v>250</v>
      </c>
      <c r="B8" s="77"/>
      <c r="C8" s="77"/>
      <c r="D8" s="77"/>
      <c r="E8" s="85" t="s">
        <v>252</v>
      </c>
      <c r="F8" s="77"/>
      <c r="G8" s="77"/>
      <c r="H8" s="77"/>
      <c r="I8" s="88" t="s">
        <v>254</v>
      </c>
      <c r="J8" s="77"/>
      <c r="K8" s="77"/>
      <c r="L8" s="77"/>
      <c r="M8" s="78" t="s">
        <v>256</v>
      </c>
      <c r="N8" s="77"/>
      <c r="O8" s="77"/>
      <c r="P8" s="77"/>
    </row>
    <row r="9" spans="1:16" ht="21.95" customHeight="1" x14ac:dyDescent="0.25">
      <c r="A9" s="97">
        <f>Settings!B5</f>
        <v>9</v>
      </c>
      <c r="B9" s="77"/>
      <c r="C9" s="77"/>
      <c r="D9" s="77"/>
      <c r="E9" s="86">
        <f>COUNTIF('Paid-Data'!N:N,Identification!C12)</f>
        <v>0</v>
      </c>
      <c r="F9" s="77"/>
      <c r="G9" s="77"/>
      <c r="H9" s="77"/>
      <c r="I9" s="89">
        <f>SUMIF('Paid-Data'!N:N,Identification!C12,'Paid-Data'!J:J)</f>
        <v>0</v>
      </c>
      <c r="J9" s="77"/>
      <c r="K9" s="77"/>
      <c r="L9" s="77"/>
      <c r="M9" s="90" t="str">
        <f>COUNTIF(Personnel!F:F,"Local")&amp;" / "&amp;COUNTIF(Personnel!F:F,"Expat")</f>
        <v>3 / 5</v>
      </c>
      <c r="N9" s="77"/>
      <c r="O9" s="77"/>
      <c r="P9" s="77"/>
    </row>
    <row r="10" spans="1:16" ht="21.95" customHeight="1" x14ac:dyDescent="0.25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</row>
    <row r="11" spans="1:16" ht="21.95" customHeight="1" x14ac:dyDescent="0.25">
      <c r="A11" s="87" t="s">
        <v>251</v>
      </c>
      <c r="B11" s="77"/>
      <c r="C11" s="77"/>
      <c r="D11" s="77"/>
      <c r="E11" s="87" t="s">
        <v>253</v>
      </c>
      <c r="F11" s="77"/>
      <c r="G11" s="77"/>
      <c r="H11" s="77"/>
      <c r="I11" s="87" t="s">
        <v>255</v>
      </c>
      <c r="J11" s="77"/>
      <c r="K11" s="77"/>
      <c r="L11" s="77"/>
      <c r="M11" s="87" t="s">
        <v>257</v>
      </c>
      <c r="N11" s="77"/>
      <c r="O11" s="77"/>
      <c r="P11" s="77"/>
    </row>
    <row r="12" spans="1:1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</row>
    <row r="13" spans="1:1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</row>
    <row r="14" spans="1:16" ht="12" customHeight="1" x14ac:dyDescent="0.25">
      <c r="A14" s="91" t="s">
        <v>258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</row>
    <row r="15" spans="1:16" ht="20.100000000000001" customHeight="1" x14ac:dyDescent="0.25">
      <c r="A15" s="92" t="s">
        <v>259</v>
      </c>
      <c r="B15" s="93"/>
      <c r="C15" s="93"/>
      <c r="D15" s="93"/>
      <c r="E15" s="94" t="s">
        <v>260</v>
      </c>
      <c r="F15" s="93"/>
      <c r="G15" s="93"/>
      <c r="H15" s="93"/>
      <c r="I15" s="95" t="s">
        <v>261</v>
      </c>
      <c r="J15" s="93"/>
      <c r="K15" s="93"/>
      <c r="L15" s="93"/>
      <c r="M15" s="96" t="s">
        <v>262</v>
      </c>
      <c r="N15" s="93"/>
      <c r="O15" s="93"/>
      <c r="P15" s="93"/>
    </row>
    <row r="16" spans="1:16" ht="20.100000000000001" customHeight="1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</row>
    <row r="17" spans="1:16" ht="20.100000000000001" customHeight="1" x14ac:dyDescent="0.25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</row>
    <row r="18" spans="1:16" ht="20.100000000000001" customHeight="1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</row>
    <row r="19" spans="1:16" ht="20.100000000000001" customHeight="1" x14ac:dyDescent="0.25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</row>
    <row r="20" spans="1:1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</row>
    <row r="21" spans="1:16" ht="20.100000000000001" customHeight="1" x14ac:dyDescent="0.25">
      <c r="A21" s="99" t="s">
        <v>263</v>
      </c>
      <c r="B21" s="93"/>
      <c r="C21" s="93"/>
      <c r="D21" s="93"/>
      <c r="E21" s="100" t="s">
        <v>264</v>
      </c>
      <c r="F21" s="93"/>
      <c r="G21" s="93"/>
      <c r="H21" s="93"/>
      <c r="I21" s="101" t="s">
        <v>265</v>
      </c>
      <c r="J21" s="93"/>
      <c r="K21" s="93"/>
      <c r="L21" s="93"/>
      <c r="M21" s="102" t="s">
        <v>266</v>
      </c>
      <c r="N21" s="93"/>
      <c r="O21" s="93"/>
      <c r="P21" s="93"/>
    </row>
    <row r="22" spans="1:16" ht="20.100000000000001" customHeight="1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</row>
    <row r="23" spans="1:16" ht="20.100000000000001" customHeight="1" x14ac:dyDescent="0.25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</row>
    <row r="24" spans="1:16" ht="20.100000000000001" customHeight="1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</row>
    <row r="25" spans="1:16" ht="20.100000000000001" customHeight="1" x14ac:dyDescent="0.25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</row>
    <row r="26" spans="1:1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</row>
    <row r="27" spans="1:16" ht="15.95" customHeight="1" x14ac:dyDescent="0.25">
      <c r="A27" s="103" t="s">
        <v>267</v>
      </c>
      <c r="B27" s="77"/>
      <c r="C27" s="77"/>
      <c r="D27" s="77"/>
      <c r="E27" s="103" t="s">
        <v>268</v>
      </c>
      <c r="F27" s="77"/>
      <c r="G27" s="77"/>
      <c r="H27" s="77"/>
      <c r="I27" s="103" t="s">
        <v>269</v>
      </c>
      <c r="J27" s="77"/>
      <c r="K27" s="77"/>
      <c r="L27" s="77"/>
      <c r="M27" s="103" t="s">
        <v>270</v>
      </c>
      <c r="N27" s="77"/>
      <c r="O27" s="77"/>
      <c r="P27" s="77"/>
    </row>
    <row r="28" spans="1:1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</row>
    <row r="29" spans="1:1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</row>
    <row r="30" spans="1:1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</row>
    <row r="31" spans="1:1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</row>
    <row r="32" spans="1:1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</row>
    <row r="33" spans="1:16" ht="15.95" customHeight="1" x14ac:dyDescent="0.25">
      <c r="A33" s="103" t="s">
        <v>271</v>
      </c>
      <c r="B33" s="77"/>
      <c r="C33" s="77"/>
      <c r="D33" s="77"/>
      <c r="E33" s="103" t="s">
        <v>272</v>
      </c>
      <c r="F33" s="77"/>
      <c r="G33" s="77"/>
      <c r="H33" s="77"/>
      <c r="I33" s="103" t="s">
        <v>273</v>
      </c>
      <c r="J33" s="77"/>
      <c r="K33" s="77"/>
      <c r="L33" s="77"/>
      <c r="M33" s="103" t="s">
        <v>274</v>
      </c>
      <c r="N33" s="77"/>
      <c r="O33" s="77"/>
      <c r="P33" s="77"/>
    </row>
    <row r="34" spans="1:1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</row>
    <row r="35" spans="1:1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</row>
    <row r="36" spans="1:1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</row>
    <row r="37" spans="1:1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</row>
    <row r="38" spans="1:16" ht="6" customHeight="1" x14ac:dyDescent="0.25">
      <c r="A38" s="81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</row>
    <row r="39" spans="1:16" ht="18" customHeight="1" x14ac:dyDescent="0.25">
      <c r="A39" s="98" t="s">
        <v>275</v>
      </c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</row>
    <row r="41" spans="1:1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</row>
    <row r="42" spans="1:1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</row>
    <row r="43" spans="1:1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</row>
    <row r="44" spans="1:1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</row>
    <row r="45" spans="1:1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</row>
    <row r="46" spans="1:1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</row>
    <row r="47" spans="1:1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</row>
    <row r="48" spans="1:1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</row>
    <row r="49" spans="1:1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</row>
    <row r="50" spans="1:1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</row>
  </sheetData>
  <mergeCells count="36">
    <mergeCell ref="A39:P39"/>
    <mergeCell ref="A21:D25"/>
    <mergeCell ref="E21:H25"/>
    <mergeCell ref="I21:L25"/>
    <mergeCell ref="M21:P25"/>
    <mergeCell ref="A27:D27"/>
    <mergeCell ref="E27:H27"/>
    <mergeCell ref="I27:L27"/>
    <mergeCell ref="M27:P27"/>
    <mergeCell ref="A33:D33"/>
    <mergeCell ref="E33:H33"/>
    <mergeCell ref="I33:L33"/>
    <mergeCell ref="M33:P33"/>
    <mergeCell ref="A38:P38"/>
    <mergeCell ref="M9:P10"/>
    <mergeCell ref="M11:P11"/>
    <mergeCell ref="A14:P14"/>
    <mergeCell ref="A15:D19"/>
    <mergeCell ref="E15:H19"/>
    <mergeCell ref="I15:L19"/>
    <mergeCell ref="M15:P19"/>
    <mergeCell ref="A9:D10"/>
    <mergeCell ref="A11:D11"/>
    <mergeCell ref="E9:H10"/>
    <mergeCell ref="E11:H11"/>
    <mergeCell ref="I8:L8"/>
    <mergeCell ref="I9:L10"/>
    <mergeCell ref="I11:L11"/>
    <mergeCell ref="A8:D8"/>
    <mergeCell ref="M8:P8"/>
    <mergeCell ref="A2:P2"/>
    <mergeCell ref="A3:P3"/>
    <mergeCell ref="A4:P4"/>
    <mergeCell ref="A5:H5"/>
    <mergeCell ref="I5:P5"/>
    <mergeCell ref="E8:H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2AE-62F0-45DC-847F-25B5D14443C1}">
  <sheetPr codeName="Feuil2">
    <tabColor rgb="FF1F497D"/>
  </sheetPr>
  <dimension ref="A1:F15"/>
  <sheetViews>
    <sheetView workbookViewId="0">
      <selection sqref="A1:F3"/>
    </sheetView>
  </sheetViews>
  <sheetFormatPr baseColWidth="10" defaultRowHeight="15" x14ac:dyDescent="0.25"/>
  <cols>
    <col min="1" max="1" width="5.7109375" customWidth="1"/>
    <col min="2" max="2" width="25.7109375" customWidth="1"/>
    <col min="3" max="3" width="30.7109375" customWidth="1"/>
    <col min="4" max="4" width="5.7109375" customWidth="1"/>
    <col min="5" max="5" width="25.7109375" customWidth="1"/>
    <col min="6" max="6" width="30.7109375" customWidth="1"/>
  </cols>
  <sheetData>
    <row r="1" spans="1:6" ht="20.100000000000001" customHeight="1" x14ac:dyDescent="0.25">
      <c r="A1" s="104" t="s">
        <v>17</v>
      </c>
      <c r="B1" s="74"/>
      <c r="C1" s="74"/>
      <c r="D1" s="74"/>
      <c r="E1" s="74"/>
      <c r="F1" s="74"/>
    </row>
    <row r="2" spans="1:6" ht="20.100000000000001" customHeight="1" x14ac:dyDescent="0.25">
      <c r="A2" s="74"/>
      <c r="B2" s="74"/>
      <c r="C2" s="74"/>
      <c r="D2" s="74"/>
      <c r="E2" s="74"/>
      <c r="F2" s="74"/>
    </row>
    <row r="3" spans="1:6" ht="20.100000000000001" customHeight="1" x14ac:dyDescent="0.25">
      <c r="A3" s="74"/>
      <c r="B3" s="74"/>
      <c r="C3" s="74"/>
      <c r="D3" s="74"/>
      <c r="E3" s="74"/>
      <c r="F3" s="74"/>
    </row>
    <row r="4" spans="1:6" ht="15.75" thickBot="1" x14ac:dyDescent="0.3"/>
    <row r="5" spans="1:6" ht="20.100000000000001" customHeight="1" thickTop="1" x14ac:dyDescent="0.25">
      <c r="B5" s="2" t="s">
        <v>18</v>
      </c>
      <c r="C5" s="3" t="s">
        <v>19</v>
      </c>
      <c r="D5" s="4"/>
      <c r="E5" s="5" t="s">
        <v>20</v>
      </c>
      <c r="F5" s="6"/>
    </row>
    <row r="6" spans="1:6" ht="20.100000000000001" customHeight="1" x14ac:dyDescent="0.25">
      <c r="B6" s="7" t="s">
        <v>21</v>
      </c>
      <c r="C6" s="1" t="s">
        <v>22</v>
      </c>
      <c r="E6" s="8" t="s">
        <v>23</v>
      </c>
      <c r="F6" s="9"/>
    </row>
    <row r="7" spans="1:6" ht="20.100000000000001" customHeight="1" x14ac:dyDescent="0.25">
      <c r="B7" s="7" t="s">
        <v>24</v>
      </c>
      <c r="C7" s="1" t="s">
        <v>25</v>
      </c>
      <c r="E7" s="8" t="s">
        <v>26</v>
      </c>
      <c r="F7" s="9" t="s">
        <v>27</v>
      </c>
    </row>
    <row r="8" spans="1:6" ht="20.100000000000001" customHeight="1" x14ac:dyDescent="0.25">
      <c r="B8" s="7" t="s">
        <v>28</v>
      </c>
      <c r="C8" s="1"/>
      <c r="E8" s="8" t="s">
        <v>29</v>
      </c>
      <c r="F8" s="9"/>
    </row>
    <row r="9" spans="1:6" ht="20.100000000000001" customHeight="1" thickBot="1" x14ac:dyDescent="0.3">
      <c r="B9" s="10" t="s">
        <v>30</v>
      </c>
      <c r="C9" s="11"/>
      <c r="D9" s="12"/>
      <c r="E9" s="13" t="s">
        <v>31</v>
      </c>
      <c r="F9" s="14"/>
    </row>
    <row r="10" spans="1:6" ht="16.5" thickTop="1" thickBot="1" x14ac:dyDescent="0.3"/>
    <row r="11" spans="1:6" ht="15.75" thickTop="1" x14ac:dyDescent="0.25">
      <c r="B11" s="105" t="s">
        <v>32</v>
      </c>
      <c r="C11" s="106"/>
      <c r="D11" s="106"/>
      <c r="E11" s="4"/>
      <c r="F11" s="15"/>
    </row>
    <row r="12" spans="1:6" ht="20.100000000000001" customHeight="1" x14ac:dyDescent="0.25">
      <c r="B12" s="7" t="s">
        <v>1</v>
      </c>
      <c r="C12" s="20" t="s">
        <v>2</v>
      </c>
      <c r="F12" s="16"/>
    </row>
    <row r="13" spans="1:6" ht="20.100000000000001" customHeight="1" x14ac:dyDescent="0.25">
      <c r="B13" s="7" t="s">
        <v>3</v>
      </c>
      <c r="C13" s="21">
        <v>2026</v>
      </c>
      <c r="F13" s="16"/>
    </row>
    <row r="14" spans="1:6" ht="20.100000000000001" customHeight="1" thickBot="1" x14ac:dyDescent="0.3">
      <c r="B14" s="10" t="s">
        <v>33</v>
      </c>
      <c r="C14" s="17">
        <f>DATE(C13,VLOOKUP(C12,Settings!A8:B19,2,0),1)</f>
        <v>46113</v>
      </c>
      <c r="D14" s="12"/>
      <c r="E14" s="18" t="s">
        <v>34</v>
      </c>
      <c r="F14" s="19">
        <f>EOMONTH(C14,0)</f>
        <v>46142</v>
      </c>
    </row>
    <row r="15" spans="1:6" ht="15.75" thickTop="1" x14ac:dyDescent="0.25"/>
  </sheetData>
  <mergeCells count="2">
    <mergeCell ref="A1:F3"/>
    <mergeCell ref="B11:D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70E70-E434-496D-B697-CE407D0FA2D0}">
  <sheetPr codeName="Feuil3">
    <tabColor rgb="FFFFC000"/>
  </sheetPr>
  <dimension ref="A1:I34"/>
  <sheetViews>
    <sheetView workbookViewId="0">
      <pane ySplit="4" topLeftCell="A5" activePane="bottomLeft" state="frozen"/>
      <selection pane="bottomLeft" activeCell="A5" sqref="A5"/>
    </sheetView>
  </sheetViews>
  <sheetFormatPr baseColWidth="10" defaultRowHeight="15" x14ac:dyDescent="0.25"/>
  <cols>
    <col min="1" max="1" width="8.7109375" customWidth="1"/>
    <col min="2" max="2" width="32.7109375" customWidth="1"/>
    <col min="3" max="3" width="12.7109375" customWidth="1"/>
    <col min="4" max="4" width="14.7109375" customWidth="1"/>
    <col min="5" max="5" width="30.7109375" bestFit="1" customWidth="1"/>
    <col min="6" max="6" width="10.7109375" customWidth="1"/>
    <col min="7" max="7" width="40.7109375" customWidth="1"/>
    <col min="8" max="9" width="8.7109375" customWidth="1"/>
  </cols>
  <sheetData>
    <row r="1" spans="1:9" ht="24.95" customHeight="1" x14ac:dyDescent="0.25">
      <c r="A1" s="73" t="s">
        <v>35</v>
      </c>
      <c r="B1" s="74"/>
      <c r="C1" s="74"/>
      <c r="D1" s="74"/>
      <c r="E1" s="74"/>
      <c r="F1" s="74"/>
      <c r="G1" s="74"/>
      <c r="H1" s="74"/>
      <c r="I1" s="74"/>
    </row>
    <row r="2" spans="1:9" x14ac:dyDescent="0.25">
      <c r="A2" s="74"/>
      <c r="B2" s="74"/>
      <c r="C2" s="74"/>
      <c r="D2" s="74"/>
      <c r="E2" s="74"/>
      <c r="F2" s="74"/>
      <c r="G2" s="74"/>
      <c r="H2" s="74"/>
      <c r="I2" s="74"/>
    </row>
    <row r="3" spans="1:9" ht="15" customHeight="1" x14ac:dyDescent="0.25">
      <c r="A3" s="75" t="s">
        <v>36</v>
      </c>
      <c r="B3" s="75"/>
      <c r="C3" s="75"/>
      <c r="D3" s="75"/>
      <c r="E3" s="75"/>
      <c r="F3" s="75"/>
      <c r="G3" s="75"/>
      <c r="H3" s="75"/>
      <c r="I3" s="75"/>
    </row>
    <row r="4" spans="1:9" ht="32.1" customHeight="1" x14ac:dyDescent="0.25">
      <c r="A4" s="22" t="s">
        <v>37</v>
      </c>
      <c r="B4" s="22" t="s">
        <v>38</v>
      </c>
      <c r="C4" s="22" t="s">
        <v>39</v>
      </c>
      <c r="D4" s="22" t="s">
        <v>40</v>
      </c>
      <c r="E4" s="22" t="s">
        <v>41</v>
      </c>
      <c r="F4" s="22" t="s">
        <v>42</v>
      </c>
      <c r="G4" s="22" t="s">
        <v>43</v>
      </c>
      <c r="H4" s="22" t="s">
        <v>44</v>
      </c>
      <c r="I4" s="22" t="s">
        <v>45</v>
      </c>
    </row>
    <row r="5" spans="1:9" ht="18" customHeight="1" x14ac:dyDescent="0.25">
      <c r="A5" s="24">
        <v>1000</v>
      </c>
      <c r="B5" s="25" t="s">
        <v>46</v>
      </c>
      <c r="C5" s="26" t="s">
        <v>47</v>
      </c>
      <c r="D5" s="27" t="s">
        <v>48</v>
      </c>
      <c r="E5" s="28" t="s">
        <v>49</v>
      </c>
      <c r="F5" s="29"/>
      <c r="G5" s="30" t="s">
        <v>50</v>
      </c>
      <c r="H5" s="27">
        <v>10</v>
      </c>
      <c r="I5" s="27" t="s">
        <v>51</v>
      </c>
    </row>
    <row r="6" spans="1:9" ht="18" customHeight="1" x14ac:dyDescent="0.25">
      <c r="A6" s="31">
        <v>1100</v>
      </c>
      <c r="B6" s="32" t="s">
        <v>52</v>
      </c>
      <c r="C6" s="33" t="s">
        <v>47</v>
      </c>
      <c r="D6" s="34" t="s">
        <v>48</v>
      </c>
      <c r="E6" s="35" t="s">
        <v>53</v>
      </c>
      <c r="F6" s="29"/>
      <c r="G6" s="36" t="s">
        <v>54</v>
      </c>
      <c r="H6" s="34">
        <v>20</v>
      </c>
      <c r="I6" s="34" t="s">
        <v>51</v>
      </c>
    </row>
    <row r="7" spans="1:9" ht="18" customHeight="1" x14ac:dyDescent="0.25">
      <c r="A7" s="24">
        <v>1200</v>
      </c>
      <c r="B7" s="25" t="s">
        <v>55</v>
      </c>
      <c r="C7" s="26" t="s">
        <v>47</v>
      </c>
      <c r="D7" s="27" t="s">
        <v>48</v>
      </c>
      <c r="E7" s="28" t="s">
        <v>56</v>
      </c>
      <c r="F7" s="29"/>
      <c r="G7" s="30" t="s">
        <v>57</v>
      </c>
      <c r="H7" s="27">
        <v>30</v>
      </c>
      <c r="I7" s="27" t="s">
        <v>51</v>
      </c>
    </row>
    <row r="8" spans="1:9" ht="18" customHeight="1" x14ac:dyDescent="0.25">
      <c r="A8" s="31">
        <v>1300</v>
      </c>
      <c r="B8" s="32" t="s">
        <v>58</v>
      </c>
      <c r="C8" s="33" t="s">
        <v>47</v>
      </c>
      <c r="D8" s="34" t="s">
        <v>48</v>
      </c>
      <c r="E8" s="35" t="s">
        <v>59</v>
      </c>
      <c r="F8" s="29"/>
      <c r="G8" s="36" t="s">
        <v>60</v>
      </c>
      <c r="H8" s="34">
        <v>40</v>
      </c>
      <c r="I8" s="34" t="s">
        <v>51</v>
      </c>
    </row>
    <row r="9" spans="1:9" ht="18" customHeight="1" x14ac:dyDescent="0.25">
      <c r="A9" s="24">
        <v>1400</v>
      </c>
      <c r="B9" s="25" t="s">
        <v>61</v>
      </c>
      <c r="C9" s="26" t="s">
        <v>47</v>
      </c>
      <c r="D9" s="27" t="s">
        <v>48</v>
      </c>
      <c r="E9" s="28" t="s">
        <v>62</v>
      </c>
      <c r="F9" s="29"/>
      <c r="G9" s="30" t="s">
        <v>63</v>
      </c>
      <c r="H9" s="27">
        <v>50</v>
      </c>
      <c r="I9" s="27" t="s">
        <v>51</v>
      </c>
    </row>
    <row r="10" spans="1:9" ht="18" customHeight="1" x14ac:dyDescent="0.25">
      <c r="A10" s="31">
        <v>1500</v>
      </c>
      <c r="B10" s="32" t="s">
        <v>64</v>
      </c>
      <c r="C10" s="33" t="s">
        <v>47</v>
      </c>
      <c r="D10" s="34" t="s">
        <v>48</v>
      </c>
      <c r="E10" s="35" t="s">
        <v>65</v>
      </c>
      <c r="F10" s="29"/>
      <c r="G10" s="36" t="s">
        <v>66</v>
      </c>
      <c r="H10" s="34">
        <v>60</v>
      </c>
      <c r="I10" s="34" t="s">
        <v>51</v>
      </c>
    </row>
    <row r="11" spans="1:9" ht="18" customHeight="1" x14ac:dyDescent="0.25">
      <c r="A11" s="24">
        <v>1600</v>
      </c>
      <c r="B11" s="25" t="s">
        <v>67</v>
      </c>
      <c r="C11" s="26" t="s">
        <v>47</v>
      </c>
      <c r="D11" s="27" t="s">
        <v>48</v>
      </c>
      <c r="E11" s="28" t="s">
        <v>68</v>
      </c>
      <c r="F11" s="29"/>
      <c r="G11" s="30" t="s">
        <v>69</v>
      </c>
      <c r="H11" s="27">
        <v>70</v>
      </c>
      <c r="I11" s="27" t="s">
        <v>51</v>
      </c>
    </row>
    <row r="12" spans="1:9" ht="18" customHeight="1" x14ac:dyDescent="0.25">
      <c r="A12" s="31">
        <v>1700</v>
      </c>
      <c r="B12" s="32" t="s">
        <v>70</v>
      </c>
      <c r="C12" s="33" t="s">
        <v>47</v>
      </c>
      <c r="D12" s="34" t="s">
        <v>48</v>
      </c>
      <c r="E12" s="35" t="s">
        <v>71</v>
      </c>
      <c r="F12" s="29"/>
      <c r="G12" s="36" t="s">
        <v>72</v>
      </c>
      <c r="H12" s="34">
        <v>80</v>
      </c>
      <c r="I12" s="34" t="s">
        <v>51</v>
      </c>
    </row>
    <row r="13" spans="1:9" ht="18" customHeight="1" x14ac:dyDescent="0.25">
      <c r="A13" s="24">
        <v>2000</v>
      </c>
      <c r="B13" s="25" t="s">
        <v>73</v>
      </c>
      <c r="C13" s="26" t="s">
        <v>47</v>
      </c>
      <c r="D13" s="27" t="s">
        <v>74</v>
      </c>
      <c r="E13" s="28" t="s">
        <v>62</v>
      </c>
      <c r="F13" s="29"/>
      <c r="G13" s="30" t="s">
        <v>75</v>
      </c>
      <c r="H13" s="27">
        <v>90</v>
      </c>
      <c r="I13" s="27" t="s">
        <v>51</v>
      </c>
    </row>
    <row r="14" spans="1:9" ht="18" customHeight="1" x14ac:dyDescent="0.25">
      <c r="A14" s="31">
        <v>2100</v>
      </c>
      <c r="B14" s="32" t="s">
        <v>76</v>
      </c>
      <c r="C14" s="33" t="s">
        <v>47</v>
      </c>
      <c r="D14" s="34" t="s">
        <v>74</v>
      </c>
      <c r="E14" s="35" t="s">
        <v>62</v>
      </c>
      <c r="F14" s="29"/>
      <c r="G14" s="36" t="s">
        <v>77</v>
      </c>
      <c r="H14" s="34">
        <v>100</v>
      </c>
      <c r="I14" s="34" t="s">
        <v>51</v>
      </c>
    </row>
    <row r="15" spans="1:9" ht="18" customHeight="1" x14ac:dyDescent="0.25">
      <c r="A15" s="24">
        <v>2200</v>
      </c>
      <c r="B15" s="25" t="s">
        <v>78</v>
      </c>
      <c r="C15" s="26" t="s">
        <v>47</v>
      </c>
      <c r="D15" s="27" t="s">
        <v>74</v>
      </c>
      <c r="E15" s="28" t="s">
        <v>62</v>
      </c>
      <c r="F15" s="29"/>
      <c r="G15" s="30" t="s">
        <v>79</v>
      </c>
      <c r="H15" s="27">
        <v>110</v>
      </c>
      <c r="I15" s="27" t="s">
        <v>80</v>
      </c>
    </row>
    <row r="16" spans="1:9" ht="18" customHeight="1" x14ac:dyDescent="0.25">
      <c r="A16" s="31">
        <v>2300</v>
      </c>
      <c r="B16" s="32" t="s">
        <v>81</v>
      </c>
      <c r="C16" s="33" t="s">
        <v>47</v>
      </c>
      <c r="D16" s="34" t="s">
        <v>74</v>
      </c>
      <c r="E16" s="35" t="s">
        <v>82</v>
      </c>
      <c r="F16" s="29"/>
      <c r="G16" s="36" t="s">
        <v>83</v>
      </c>
      <c r="H16" s="34">
        <v>120</v>
      </c>
      <c r="I16" s="34" t="s">
        <v>51</v>
      </c>
    </row>
    <row r="17" spans="1:9" ht="18" customHeight="1" x14ac:dyDescent="0.25">
      <c r="A17" s="24">
        <v>2400</v>
      </c>
      <c r="B17" s="25" t="s">
        <v>84</v>
      </c>
      <c r="C17" s="26" t="s">
        <v>47</v>
      </c>
      <c r="D17" s="27" t="s">
        <v>74</v>
      </c>
      <c r="E17" s="28" t="s">
        <v>82</v>
      </c>
      <c r="F17" s="29"/>
      <c r="G17" s="30" t="s">
        <v>85</v>
      </c>
      <c r="H17" s="27">
        <v>130</v>
      </c>
      <c r="I17" s="27" t="s">
        <v>51</v>
      </c>
    </row>
    <row r="18" spans="1:9" ht="18" customHeight="1" x14ac:dyDescent="0.25">
      <c r="A18" s="31">
        <v>2500</v>
      </c>
      <c r="B18" s="32" t="s">
        <v>86</v>
      </c>
      <c r="C18" s="33" t="s">
        <v>47</v>
      </c>
      <c r="D18" s="34" t="s">
        <v>74</v>
      </c>
      <c r="E18" s="35" t="s">
        <v>87</v>
      </c>
      <c r="F18" s="29"/>
      <c r="G18" s="36" t="s">
        <v>88</v>
      </c>
      <c r="H18" s="34">
        <v>140</v>
      </c>
      <c r="I18" s="34" t="s">
        <v>51</v>
      </c>
    </row>
    <row r="19" spans="1:9" ht="18" customHeight="1" x14ac:dyDescent="0.25">
      <c r="A19" s="24">
        <v>2600</v>
      </c>
      <c r="B19" s="25" t="s">
        <v>89</v>
      </c>
      <c r="C19" s="26" t="s">
        <v>47</v>
      </c>
      <c r="D19" s="27" t="s">
        <v>74</v>
      </c>
      <c r="E19" s="28" t="s">
        <v>62</v>
      </c>
      <c r="F19" s="29"/>
      <c r="G19" s="30" t="s">
        <v>90</v>
      </c>
      <c r="H19" s="27">
        <v>150</v>
      </c>
      <c r="I19" s="27" t="s">
        <v>80</v>
      </c>
    </row>
    <row r="20" spans="1:9" ht="18" customHeight="1" x14ac:dyDescent="0.25">
      <c r="A20" s="31">
        <v>4000</v>
      </c>
      <c r="B20" s="32" t="s">
        <v>91</v>
      </c>
      <c r="C20" s="33" t="s">
        <v>47</v>
      </c>
      <c r="D20" s="34" t="s">
        <v>92</v>
      </c>
      <c r="E20" s="35" t="s">
        <v>93</v>
      </c>
      <c r="F20" s="29"/>
      <c r="G20" s="36" t="s">
        <v>94</v>
      </c>
      <c r="H20" s="34">
        <v>10</v>
      </c>
      <c r="I20" s="34" t="s">
        <v>51</v>
      </c>
    </row>
    <row r="21" spans="1:9" ht="18" customHeight="1" x14ac:dyDescent="0.25">
      <c r="A21" s="24">
        <v>4100</v>
      </c>
      <c r="B21" s="25" t="s">
        <v>95</v>
      </c>
      <c r="C21" s="26" t="s">
        <v>47</v>
      </c>
      <c r="D21" s="27" t="s">
        <v>92</v>
      </c>
      <c r="E21" s="28" t="s">
        <v>82</v>
      </c>
      <c r="F21" s="29"/>
      <c r="G21" s="30" t="s">
        <v>96</v>
      </c>
      <c r="H21" s="27">
        <v>20</v>
      </c>
      <c r="I21" s="27" t="s">
        <v>51</v>
      </c>
    </row>
    <row r="22" spans="1:9" ht="18" customHeight="1" x14ac:dyDescent="0.25">
      <c r="A22" s="31">
        <v>4200</v>
      </c>
      <c r="B22" s="32" t="s">
        <v>97</v>
      </c>
      <c r="C22" s="33" t="s">
        <v>47</v>
      </c>
      <c r="D22" s="34" t="s">
        <v>92</v>
      </c>
      <c r="E22" s="35" t="s">
        <v>68</v>
      </c>
      <c r="F22" s="29"/>
      <c r="G22" s="36" t="s">
        <v>98</v>
      </c>
      <c r="H22" s="34">
        <v>70</v>
      </c>
      <c r="I22" s="34" t="s">
        <v>51</v>
      </c>
    </row>
    <row r="23" spans="1:9" ht="18" customHeight="1" x14ac:dyDescent="0.25">
      <c r="A23" s="24">
        <v>4300</v>
      </c>
      <c r="B23" s="25" t="s">
        <v>99</v>
      </c>
      <c r="C23" s="26" t="s">
        <v>47</v>
      </c>
      <c r="D23" s="27" t="s">
        <v>92</v>
      </c>
      <c r="E23" s="28" t="s">
        <v>71</v>
      </c>
      <c r="F23" s="29"/>
      <c r="G23" s="30" t="s">
        <v>100</v>
      </c>
      <c r="H23" s="27">
        <v>80</v>
      </c>
      <c r="I23" s="27" t="s">
        <v>51</v>
      </c>
    </row>
    <row r="24" spans="1:9" ht="18" customHeight="1" x14ac:dyDescent="0.25">
      <c r="A24" s="31">
        <v>4400</v>
      </c>
      <c r="B24" s="32" t="s">
        <v>101</v>
      </c>
      <c r="C24" s="33" t="s">
        <v>47</v>
      </c>
      <c r="D24" s="34" t="s">
        <v>92</v>
      </c>
      <c r="E24" s="35" t="s">
        <v>62</v>
      </c>
      <c r="F24" s="29"/>
      <c r="G24" s="36" t="s">
        <v>102</v>
      </c>
      <c r="H24" s="34">
        <v>160</v>
      </c>
      <c r="I24" s="34" t="s">
        <v>51</v>
      </c>
    </row>
    <row r="25" spans="1:9" ht="18" customHeight="1" x14ac:dyDescent="0.25">
      <c r="A25" s="24">
        <v>4500</v>
      </c>
      <c r="B25" s="25" t="s">
        <v>103</v>
      </c>
      <c r="C25" s="26" t="s">
        <v>47</v>
      </c>
      <c r="D25" s="27" t="s">
        <v>92</v>
      </c>
      <c r="E25" s="28" t="s">
        <v>104</v>
      </c>
      <c r="F25" s="29"/>
      <c r="G25" s="30" t="s">
        <v>105</v>
      </c>
      <c r="H25" s="27">
        <v>50</v>
      </c>
      <c r="I25" s="27" t="s">
        <v>80</v>
      </c>
    </row>
    <row r="26" spans="1:9" ht="18" customHeight="1" x14ac:dyDescent="0.25">
      <c r="A26" s="31">
        <v>3000</v>
      </c>
      <c r="B26" s="37" t="s">
        <v>106</v>
      </c>
      <c r="C26" s="38" t="s">
        <v>107</v>
      </c>
      <c r="D26" s="34" t="s">
        <v>74</v>
      </c>
      <c r="E26" s="35" t="s">
        <v>62</v>
      </c>
      <c r="F26" s="29"/>
      <c r="G26" s="36" t="s">
        <v>108</v>
      </c>
      <c r="H26" s="34">
        <v>200</v>
      </c>
      <c r="I26" s="34" t="s">
        <v>51</v>
      </c>
    </row>
    <row r="27" spans="1:9" ht="18" customHeight="1" x14ac:dyDescent="0.25">
      <c r="A27" s="24">
        <v>3100</v>
      </c>
      <c r="B27" s="39" t="s">
        <v>109</v>
      </c>
      <c r="C27" s="40" t="s">
        <v>107</v>
      </c>
      <c r="D27" s="27" t="s">
        <v>74</v>
      </c>
      <c r="E27" s="28" t="s">
        <v>62</v>
      </c>
      <c r="F27" s="29"/>
      <c r="G27" s="30" t="s">
        <v>110</v>
      </c>
      <c r="H27" s="27">
        <v>210</v>
      </c>
      <c r="I27" s="27" t="s">
        <v>51</v>
      </c>
    </row>
    <row r="28" spans="1:9" ht="18" customHeight="1" x14ac:dyDescent="0.25">
      <c r="A28" s="31">
        <v>3200</v>
      </c>
      <c r="B28" s="37" t="s">
        <v>111</v>
      </c>
      <c r="C28" s="38" t="s">
        <v>107</v>
      </c>
      <c r="D28" s="34" t="s">
        <v>74</v>
      </c>
      <c r="E28" s="35" t="s">
        <v>62</v>
      </c>
      <c r="F28" s="29"/>
      <c r="G28" s="36" t="s">
        <v>112</v>
      </c>
      <c r="H28" s="34">
        <v>220</v>
      </c>
      <c r="I28" s="34" t="s">
        <v>51</v>
      </c>
    </row>
    <row r="29" spans="1:9" ht="18" customHeight="1" x14ac:dyDescent="0.25">
      <c r="A29" s="24">
        <v>3300</v>
      </c>
      <c r="B29" s="39" t="s">
        <v>113</v>
      </c>
      <c r="C29" s="40" t="s">
        <v>107</v>
      </c>
      <c r="D29" s="27" t="s">
        <v>74</v>
      </c>
      <c r="E29" s="28" t="s">
        <v>62</v>
      </c>
      <c r="F29" s="29"/>
      <c r="G29" s="30" t="s">
        <v>114</v>
      </c>
      <c r="H29" s="27">
        <v>230</v>
      </c>
      <c r="I29" s="27" t="s">
        <v>51</v>
      </c>
    </row>
    <row r="30" spans="1:9" ht="18" customHeight="1" x14ac:dyDescent="0.25">
      <c r="A30" s="31">
        <v>3400</v>
      </c>
      <c r="B30" s="37" t="s">
        <v>115</v>
      </c>
      <c r="C30" s="38" t="s">
        <v>107</v>
      </c>
      <c r="D30" s="34" t="s">
        <v>74</v>
      </c>
      <c r="E30" s="35" t="s">
        <v>62</v>
      </c>
      <c r="F30" s="29"/>
      <c r="G30" s="36" t="s">
        <v>116</v>
      </c>
      <c r="H30" s="34">
        <v>240</v>
      </c>
      <c r="I30" s="34" t="s">
        <v>51</v>
      </c>
    </row>
    <row r="31" spans="1:9" ht="18" customHeight="1" x14ac:dyDescent="0.25">
      <c r="A31" s="24">
        <v>3500</v>
      </c>
      <c r="B31" s="39" t="s">
        <v>117</v>
      </c>
      <c r="C31" s="40" t="s">
        <v>107</v>
      </c>
      <c r="D31" s="27" t="s">
        <v>74</v>
      </c>
      <c r="E31" s="28" t="s">
        <v>62</v>
      </c>
      <c r="F31" s="29"/>
      <c r="G31" s="30" t="s">
        <v>118</v>
      </c>
      <c r="H31" s="27">
        <v>250</v>
      </c>
      <c r="I31" s="27" t="s">
        <v>80</v>
      </c>
    </row>
    <row r="32" spans="1:9" ht="18" customHeight="1" x14ac:dyDescent="0.25">
      <c r="A32" s="31">
        <v>5000</v>
      </c>
      <c r="B32" s="37" t="s">
        <v>119</v>
      </c>
      <c r="C32" s="38" t="s">
        <v>107</v>
      </c>
      <c r="D32" s="34" t="s">
        <v>92</v>
      </c>
      <c r="E32" s="35" t="s">
        <v>62</v>
      </c>
      <c r="F32" s="29"/>
      <c r="G32" s="36" t="s">
        <v>120</v>
      </c>
      <c r="H32" s="34">
        <v>200</v>
      </c>
      <c r="I32" s="34" t="s">
        <v>51</v>
      </c>
    </row>
    <row r="33" spans="1:9" ht="18" customHeight="1" x14ac:dyDescent="0.25">
      <c r="A33" s="24">
        <v>5100</v>
      </c>
      <c r="B33" s="39" t="s">
        <v>121</v>
      </c>
      <c r="C33" s="40" t="s">
        <v>107</v>
      </c>
      <c r="D33" s="27" t="s">
        <v>92</v>
      </c>
      <c r="E33" s="28" t="s">
        <v>62</v>
      </c>
      <c r="F33" s="29"/>
      <c r="G33" s="30" t="s">
        <v>122</v>
      </c>
      <c r="H33" s="27">
        <v>210</v>
      </c>
      <c r="I33" s="27" t="s">
        <v>51</v>
      </c>
    </row>
    <row r="34" spans="1:9" ht="18" customHeight="1" x14ac:dyDescent="0.25">
      <c r="A34" s="31">
        <v>5200</v>
      </c>
      <c r="B34" s="37" t="s">
        <v>123</v>
      </c>
      <c r="C34" s="38" t="s">
        <v>107</v>
      </c>
      <c r="D34" s="34" t="s">
        <v>92</v>
      </c>
      <c r="E34" s="35" t="s">
        <v>62</v>
      </c>
      <c r="F34" s="29"/>
      <c r="G34" s="36" t="s">
        <v>124</v>
      </c>
      <c r="H34" s="34">
        <v>250</v>
      </c>
      <c r="I34" s="34" t="s">
        <v>80</v>
      </c>
    </row>
  </sheetData>
  <mergeCells count="2">
    <mergeCell ref="A1:I2"/>
    <mergeCell ref="A3:I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81EB-10D9-4B73-9CA6-9149BB5D2167}">
  <sheetPr codeName="Feuil4">
    <tabColor rgb="FF4472C4"/>
  </sheetPr>
  <dimension ref="A1:R11"/>
  <sheetViews>
    <sheetView workbookViewId="0">
      <pane ySplit="3" topLeftCell="A4" activePane="bottomLeft" state="frozen"/>
      <selection pane="bottomLeft" sqref="A1:R2"/>
    </sheetView>
  </sheetViews>
  <sheetFormatPr baseColWidth="10" defaultRowHeight="15" x14ac:dyDescent="0.25"/>
  <cols>
    <col min="1" max="1" width="14.7109375" customWidth="1"/>
    <col min="2" max="2" width="12.7109375" customWidth="1"/>
    <col min="3" max="3" width="14.7109375" customWidth="1"/>
    <col min="4" max="4" width="28.7109375" customWidth="1"/>
    <col min="5" max="5" width="25.7109375" customWidth="1"/>
    <col min="6" max="6" width="8.7109375" customWidth="1"/>
    <col min="7" max="7" width="14.7109375" customWidth="1"/>
    <col min="8" max="8" width="20.7109375" customWidth="1"/>
    <col min="9" max="9" width="12.7109375" customWidth="1"/>
    <col min="10" max="10" width="16.7109375" customWidth="1"/>
    <col min="11" max="12" width="8.7109375" customWidth="1"/>
    <col min="13" max="13" width="10.7109375" customWidth="1"/>
    <col min="14" max="17" width="18.7109375" customWidth="1"/>
    <col min="18" max="18" width="14.7109375" customWidth="1"/>
  </cols>
  <sheetData>
    <row r="1" spans="1:18" ht="24.95" customHeight="1" x14ac:dyDescent="0.25">
      <c r="A1" s="73" t="s">
        <v>125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</row>
    <row r="2" spans="1:18" x14ac:dyDescent="0.25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</row>
    <row r="3" spans="1:18" ht="30" customHeight="1" x14ac:dyDescent="0.25">
      <c r="A3" s="41" t="s">
        <v>126</v>
      </c>
      <c r="B3" s="41" t="s">
        <v>127</v>
      </c>
      <c r="C3" s="41" t="s">
        <v>128</v>
      </c>
      <c r="D3" s="41" t="s">
        <v>129</v>
      </c>
      <c r="E3" s="41" t="s">
        <v>130</v>
      </c>
      <c r="F3" s="41" t="s">
        <v>131</v>
      </c>
      <c r="G3" s="41" t="s">
        <v>132</v>
      </c>
      <c r="H3" s="41" t="s">
        <v>133</v>
      </c>
      <c r="I3" s="41" t="s">
        <v>134</v>
      </c>
      <c r="J3" s="41" t="s">
        <v>46</v>
      </c>
      <c r="K3" s="41" t="s">
        <v>135</v>
      </c>
      <c r="L3" s="41" t="s">
        <v>136</v>
      </c>
      <c r="M3" s="41" t="s">
        <v>137</v>
      </c>
      <c r="N3" s="41" t="s">
        <v>138</v>
      </c>
      <c r="O3" s="41" t="s">
        <v>139</v>
      </c>
      <c r="P3" s="41" t="s">
        <v>140</v>
      </c>
      <c r="Q3" s="41" t="s">
        <v>141</v>
      </c>
      <c r="R3" s="41" t="s">
        <v>142</v>
      </c>
    </row>
    <row r="4" spans="1:18" ht="18" customHeight="1" x14ac:dyDescent="0.25">
      <c r="A4" s="42" t="s">
        <v>143</v>
      </c>
      <c r="B4" s="43">
        <v>304</v>
      </c>
      <c r="C4" s="43">
        <v>1101535</v>
      </c>
      <c r="D4" s="43" t="s">
        <v>144</v>
      </c>
      <c r="E4" s="43" t="s">
        <v>145</v>
      </c>
      <c r="F4" s="43" t="s">
        <v>74</v>
      </c>
      <c r="G4" s="44">
        <v>43961</v>
      </c>
      <c r="H4" s="43"/>
      <c r="I4" s="43"/>
      <c r="J4" s="43">
        <v>1850</v>
      </c>
      <c r="K4" s="43" t="s">
        <v>146</v>
      </c>
      <c r="L4" s="43" t="s">
        <v>147</v>
      </c>
      <c r="M4" s="43">
        <v>26</v>
      </c>
      <c r="N4" s="43">
        <v>0</v>
      </c>
      <c r="O4" s="43">
        <v>0</v>
      </c>
      <c r="P4" s="43">
        <v>0</v>
      </c>
      <c r="Q4" s="43">
        <v>0</v>
      </c>
      <c r="R4" s="43" t="s">
        <v>45</v>
      </c>
    </row>
    <row r="5" spans="1:18" ht="18" customHeight="1" x14ac:dyDescent="0.25">
      <c r="A5" s="45" t="s">
        <v>148</v>
      </c>
      <c r="B5" s="46">
        <v>300</v>
      </c>
      <c r="C5" s="46">
        <v>1200007</v>
      </c>
      <c r="D5" s="46" t="s">
        <v>149</v>
      </c>
      <c r="E5" s="46" t="s">
        <v>150</v>
      </c>
      <c r="F5" s="46" t="s">
        <v>74</v>
      </c>
      <c r="G5" s="47">
        <v>43837</v>
      </c>
      <c r="H5" s="46" t="s">
        <v>151</v>
      </c>
      <c r="I5" s="46"/>
      <c r="J5" s="46">
        <v>21951</v>
      </c>
      <c r="K5" s="46" t="s">
        <v>152</v>
      </c>
      <c r="L5" s="46" t="s">
        <v>147</v>
      </c>
      <c r="M5" s="46">
        <v>26</v>
      </c>
      <c r="N5" s="46">
        <v>0</v>
      </c>
      <c r="O5" s="46">
        <v>0</v>
      </c>
      <c r="P5" s="46">
        <v>0</v>
      </c>
      <c r="Q5" s="46">
        <v>0</v>
      </c>
      <c r="R5" s="46" t="s">
        <v>45</v>
      </c>
    </row>
    <row r="6" spans="1:18" ht="18" customHeight="1" x14ac:dyDescent="0.25">
      <c r="A6" s="42" t="s">
        <v>153</v>
      </c>
      <c r="B6" s="43">
        <v>1393</v>
      </c>
      <c r="C6" s="43">
        <v>1202469</v>
      </c>
      <c r="D6" s="43" t="s">
        <v>154</v>
      </c>
      <c r="E6" s="43" t="s">
        <v>155</v>
      </c>
      <c r="F6" s="43" t="s">
        <v>74</v>
      </c>
      <c r="G6" s="44">
        <v>45299</v>
      </c>
      <c r="H6" s="43" t="s">
        <v>156</v>
      </c>
      <c r="I6" s="43"/>
      <c r="J6" s="43">
        <v>0</v>
      </c>
      <c r="K6" s="43" t="s">
        <v>152</v>
      </c>
      <c r="L6" s="43" t="s">
        <v>147</v>
      </c>
      <c r="M6" s="43">
        <v>26</v>
      </c>
      <c r="N6" s="43">
        <v>0</v>
      </c>
      <c r="O6" s="43">
        <v>0</v>
      </c>
      <c r="P6" s="43">
        <v>0</v>
      </c>
      <c r="Q6" s="43">
        <v>0</v>
      </c>
      <c r="R6" s="43" t="s">
        <v>45</v>
      </c>
    </row>
    <row r="7" spans="1:18" ht="18" customHeight="1" x14ac:dyDescent="0.25">
      <c r="A7" s="45" t="s">
        <v>157</v>
      </c>
      <c r="B7" s="46">
        <v>766</v>
      </c>
      <c r="C7" s="46">
        <v>1200255</v>
      </c>
      <c r="D7" s="46" t="s">
        <v>158</v>
      </c>
      <c r="E7" s="46" t="s">
        <v>159</v>
      </c>
      <c r="F7" s="46" t="s">
        <v>92</v>
      </c>
      <c r="G7" s="46" t="s">
        <v>160</v>
      </c>
      <c r="H7" s="46" t="s">
        <v>161</v>
      </c>
      <c r="I7" s="46"/>
      <c r="J7" s="46">
        <v>32700</v>
      </c>
      <c r="K7" s="46" t="s">
        <v>162</v>
      </c>
      <c r="L7" s="46" t="s">
        <v>147</v>
      </c>
      <c r="M7" s="46">
        <v>22</v>
      </c>
      <c r="N7" s="46">
        <v>0</v>
      </c>
      <c r="O7" s="46">
        <v>0</v>
      </c>
      <c r="P7" s="46">
        <v>0</v>
      </c>
      <c r="Q7" s="46">
        <v>2500</v>
      </c>
      <c r="R7" s="46" t="s">
        <v>45</v>
      </c>
    </row>
    <row r="8" spans="1:18" ht="18" customHeight="1" x14ac:dyDescent="0.25">
      <c r="A8" s="42" t="s">
        <v>163</v>
      </c>
      <c r="B8" s="43">
        <v>819</v>
      </c>
      <c r="C8" s="43">
        <v>2200014</v>
      </c>
      <c r="D8" s="43" t="s">
        <v>164</v>
      </c>
      <c r="E8" s="43" t="s">
        <v>165</v>
      </c>
      <c r="F8" s="43" t="s">
        <v>92</v>
      </c>
      <c r="G8" s="43" t="s">
        <v>166</v>
      </c>
      <c r="H8" s="43" t="s">
        <v>156</v>
      </c>
      <c r="I8" s="43"/>
      <c r="J8" s="43">
        <v>4400</v>
      </c>
      <c r="K8" s="43" t="s">
        <v>146</v>
      </c>
      <c r="L8" s="43" t="s">
        <v>167</v>
      </c>
      <c r="M8" s="43">
        <v>22</v>
      </c>
      <c r="N8" s="43">
        <v>0</v>
      </c>
      <c r="O8" s="43">
        <v>0</v>
      </c>
      <c r="P8" s="43">
        <v>0</v>
      </c>
      <c r="Q8" s="43">
        <v>0</v>
      </c>
      <c r="R8" s="43" t="s">
        <v>45</v>
      </c>
    </row>
    <row r="9" spans="1:18" ht="18" customHeight="1" x14ac:dyDescent="0.25">
      <c r="A9" s="45" t="s">
        <v>168</v>
      </c>
      <c r="B9" s="46">
        <v>855</v>
      </c>
      <c r="C9" s="46">
        <v>1202863</v>
      </c>
      <c r="D9" s="46" t="s">
        <v>169</v>
      </c>
      <c r="E9" s="46" t="s">
        <v>170</v>
      </c>
      <c r="F9" s="46" t="s">
        <v>92</v>
      </c>
      <c r="G9" s="46" t="s">
        <v>171</v>
      </c>
      <c r="H9" s="46" t="s">
        <v>172</v>
      </c>
      <c r="I9" s="46"/>
      <c r="J9" s="46">
        <v>0</v>
      </c>
      <c r="K9" s="46" t="s">
        <v>162</v>
      </c>
      <c r="L9" s="46" t="s">
        <v>147</v>
      </c>
      <c r="M9" s="46">
        <v>22</v>
      </c>
      <c r="N9" s="46">
        <v>0</v>
      </c>
      <c r="O9" s="46">
        <v>0</v>
      </c>
      <c r="P9" s="46">
        <v>0</v>
      </c>
      <c r="Q9" s="46">
        <v>0</v>
      </c>
      <c r="R9" s="46" t="s">
        <v>45</v>
      </c>
    </row>
    <row r="10" spans="1:18" ht="18" customHeight="1" x14ac:dyDescent="0.25">
      <c r="A10" s="42" t="s">
        <v>173</v>
      </c>
      <c r="B10" s="43">
        <v>891</v>
      </c>
      <c r="C10" s="43">
        <v>2200141</v>
      </c>
      <c r="D10" s="43" t="s">
        <v>174</v>
      </c>
      <c r="E10" s="43" t="s">
        <v>175</v>
      </c>
      <c r="F10" s="43" t="s">
        <v>92</v>
      </c>
      <c r="G10" s="43" t="s">
        <v>176</v>
      </c>
      <c r="H10" s="43" t="s">
        <v>177</v>
      </c>
      <c r="I10" s="43"/>
      <c r="J10" s="43">
        <v>0</v>
      </c>
      <c r="K10" s="43" t="s">
        <v>162</v>
      </c>
      <c r="L10" s="43" t="s">
        <v>147</v>
      </c>
      <c r="M10" s="43">
        <v>22</v>
      </c>
      <c r="N10" s="43">
        <v>0</v>
      </c>
      <c r="O10" s="43">
        <v>0</v>
      </c>
      <c r="P10" s="43">
        <v>0</v>
      </c>
      <c r="Q10" s="43">
        <v>0</v>
      </c>
      <c r="R10" s="43" t="s">
        <v>45</v>
      </c>
    </row>
    <row r="11" spans="1:18" ht="18" customHeight="1" x14ac:dyDescent="0.25">
      <c r="A11" s="45" t="s">
        <v>178</v>
      </c>
      <c r="B11" s="46">
        <v>892</v>
      </c>
      <c r="C11" s="46">
        <v>1202685</v>
      </c>
      <c r="D11" s="46" t="s">
        <v>179</v>
      </c>
      <c r="E11" s="46" t="s">
        <v>180</v>
      </c>
      <c r="F11" s="46" t="s">
        <v>92</v>
      </c>
      <c r="G11" s="46" t="s">
        <v>181</v>
      </c>
      <c r="H11" s="46" t="s">
        <v>161</v>
      </c>
      <c r="I11" s="46"/>
      <c r="J11" s="46">
        <v>0</v>
      </c>
      <c r="K11" s="46" t="s">
        <v>162</v>
      </c>
      <c r="L11" s="46" t="s">
        <v>147</v>
      </c>
      <c r="M11" s="46">
        <v>22</v>
      </c>
      <c r="N11" s="46">
        <v>0</v>
      </c>
      <c r="O11" s="46">
        <v>0</v>
      </c>
      <c r="P11" s="46">
        <v>0</v>
      </c>
      <c r="Q11" s="46">
        <v>0</v>
      </c>
      <c r="R11" s="46" t="s">
        <v>45</v>
      </c>
    </row>
  </sheetData>
  <mergeCells count="1">
    <mergeCell ref="A1:R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5E8D-D026-4CBD-ADC3-2A6E96B70860}">
  <sheetPr codeName="Feuil5">
    <tabColor rgb="FF468250"/>
  </sheetPr>
  <dimension ref="A1:T53"/>
  <sheetViews>
    <sheetView workbookViewId="0">
      <pane ySplit="5" topLeftCell="A6" activePane="bottomLeft" state="frozen"/>
      <selection pane="bottomLeft" activeCell="A6" sqref="A6"/>
    </sheetView>
  </sheetViews>
  <sheetFormatPr baseColWidth="10" defaultRowHeight="15" x14ac:dyDescent="0.25"/>
  <cols>
    <col min="1" max="1" width="14.7109375" customWidth="1"/>
    <col min="2" max="2" width="28.7109375" customWidth="1"/>
    <col min="3" max="3" width="12.7109375" customWidth="1"/>
    <col min="4" max="9" width="10.7109375" customWidth="1"/>
    <col min="10" max="20" width="14.7109375" customWidth="1"/>
  </cols>
  <sheetData>
    <row r="1" spans="1:20" ht="24.95" customHeight="1" x14ac:dyDescent="0.25">
      <c r="A1" s="73" t="s">
        <v>182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</row>
    <row r="2" spans="1:20" x14ac:dyDescent="0.25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</row>
    <row r="3" spans="1:20" x14ac:dyDescent="0.25">
      <c r="A3" s="23" t="s">
        <v>183</v>
      </c>
      <c r="B3" t="str">
        <f>Identification!C12&amp;" "&amp;Identification!C13</f>
        <v>Avril 2026</v>
      </c>
    </row>
    <row r="5" spans="1:20" ht="35.1" customHeight="1" x14ac:dyDescent="0.25">
      <c r="A5" s="41" t="s">
        <v>126</v>
      </c>
      <c r="B5" s="41" t="s">
        <v>184</v>
      </c>
      <c r="C5" s="41" t="s">
        <v>185</v>
      </c>
      <c r="D5" s="41" t="s">
        <v>186</v>
      </c>
      <c r="E5" s="41" t="s">
        <v>187</v>
      </c>
      <c r="F5" s="41" t="s">
        <v>188</v>
      </c>
      <c r="G5" s="41" t="s">
        <v>189</v>
      </c>
      <c r="H5" s="41" t="s">
        <v>190</v>
      </c>
      <c r="I5" s="41" t="s">
        <v>191</v>
      </c>
      <c r="J5" s="41" t="s">
        <v>192</v>
      </c>
      <c r="K5" s="41" t="s">
        <v>193</v>
      </c>
      <c r="L5" s="41" t="s">
        <v>194</v>
      </c>
      <c r="M5" s="41" t="s">
        <v>195</v>
      </c>
      <c r="N5" s="41" t="s">
        <v>196</v>
      </c>
      <c r="O5" s="41" t="s">
        <v>197</v>
      </c>
      <c r="P5" s="41" t="s">
        <v>198</v>
      </c>
      <c r="Q5" s="41" t="s">
        <v>109</v>
      </c>
      <c r="R5" s="41" t="s">
        <v>111</v>
      </c>
      <c r="S5" s="41" t="s">
        <v>199</v>
      </c>
      <c r="T5" s="41" t="s">
        <v>200</v>
      </c>
    </row>
    <row r="6" spans="1:20" ht="18" customHeight="1" x14ac:dyDescent="0.25">
      <c r="A6" s="43" t="str">
        <f>IFERROR(Personnel!A4,"")</f>
        <v>HAM-001</v>
      </c>
      <c r="B6" s="43" t="str">
        <f>IFERROR(Personnel!D4,"")</f>
        <v>BENSALEM KARIM</v>
      </c>
      <c r="C6" s="43" t="str">
        <f>IFERROR(Personnel!F4,"")</f>
        <v>Local</v>
      </c>
      <c r="D6" s="43">
        <f>IFERROR(IF(Personnel!A4="","",Personnel!M4),"")</f>
        <v>26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</row>
    <row r="7" spans="1:20" ht="18" customHeight="1" x14ac:dyDescent="0.25">
      <c r="A7" s="46" t="str">
        <f>IFERROR(Personnel!A5,"")</f>
        <v>HAM-002</v>
      </c>
      <c r="B7" s="46" t="str">
        <f>IFERROR(Personnel!D5,"")</f>
        <v>EL GAMAH MOUHSSINE</v>
      </c>
      <c r="C7" s="46" t="str">
        <f>IFERROR(Personnel!F5,"")</f>
        <v>Local</v>
      </c>
      <c r="D7" s="46">
        <f>IFERROR(IF(Personnel!A5="","",Personnel!M5),"")</f>
        <v>26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</row>
    <row r="8" spans="1:20" ht="18" customHeight="1" x14ac:dyDescent="0.25">
      <c r="A8" s="43" t="str">
        <f>IFERROR(Personnel!A6,"")</f>
        <v>HAM-003</v>
      </c>
      <c r="B8" s="43" t="str">
        <f>IFERROR(Personnel!D6,"")</f>
        <v>BEZZAOUIYA SIDI MOHAMMED</v>
      </c>
      <c r="C8" s="43" t="str">
        <f>IFERROR(Personnel!F6,"")</f>
        <v>Local</v>
      </c>
      <c r="D8" s="43">
        <f>IFERROR(IF(Personnel!A6="","",Personnel!M6),"")</f>
        <v>26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</row>
    <row r="9" spans="1:20" ht="18" customHeight="1" x14ac:dyDescent="0.25">
      <c r="A9" s="46" t="str">
        <f>IFERROR(Personnel!A7,"")</f>
        <v>HAM-004</v>
      </c>
      <c r="B9" s="46" t="str">
        <f>IFERROR(Personnel!D7,"")</f>
        <v>AFSAR RAFI MOHAMMED KAISAR</v>
      </c>
      <c r="C9" s="46" t="str">
        <f>IFERROR(Personnel!F7,"")</f>
        <v>Expat</v>
      </c>
      <c r="D9" s="46">
        <f>IFERROR(IF(Personnel!A7="","",Personnel!M7),"")</f>
        <v>22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</row>
    <row r="10" spans="1:20" ht="18" customHeight="1" x14ac:dyDescent="0.25">
      <c r="A10" s="43" t="str">
        <f>IFERROR(Personnel!A8,"")</f>
        <v>HAM-005</v>
      </c>
      <c r="B10" s="43" t="str">
        <f>IFERROR(Personnel!D8,"")</f>
        <v>BOUALEM SELLAM</v>
      </c>
      <c r="C10" s="43" t="str">
        <f>IFERROR(Personnel!F8,"")</f>
        <v>Expat</v>
      </c>
      <c r="D10" s="43">
        <f>IFERROR(IF(Personnel!A8="","",Personnel!M8),"")</f>
        <v>22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</row>
    <row r="11" spans="1:20" ht="18" customHeight="1" x14ac:dyDescent="0.25">
      <c r="A11" s="46" t="str">
        <f>IFERROR(Personnel!A9,"")</f>
        <v>HAM-006</v>
      </c>
      <c r="B11" s="46" t="str">
        <f>IFERROR(Personnel!D9,"")</f>
        <v>BALA MURUGAN</v>
      </c>
      <c r="C11" s="46" t="str">
        <f>IFERROR(Personnel!F9,"")</f>
        <v>Expat</v>
      </c>
      <c r="D11" s="46">
        <f>IFERROR(IF(Personnel!A9="","",Personnel!M9),"")</f>
        <v>22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</row>
    <row r="12" spans="1:20" ht="18" customHeight="1" x14ac:dyDescent="0.25">
      <c r="A12" s="43" t="str">
        <f>IFERROR(Personnel!A10,"")</f>
        <v>HAM-007</v>
      </c>
      <c r="B12" s="43" t="str">
        <f>IFERROR(Personnel!D10,"")</f>
        <v>OGUZHAN ACIR</v>
      </c>
      <c r="C12" s="43" t="str">
        <f>IFERROR(Personnel!F10,"")</f>
        <v>Expat</v>
      </c>
      <c r="D12" s="43">
        <f>IFERROR(IF(Personnel!A10="","",Personnel!M10),"")</f>
        <v>22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</row>
    <row r="13" spans="1:20" ht="18" customHeight="1" x14ac:dyDescent="0.25">
      <c r="A13" s="46" t="str">
        <f>IFERROR(Personnel!A11,"")</f>
        <v>HAM-008</v>
      </c>
      <c r="B13" s="46" t="str">
        <f>IFERROR(Personnel!D11,"")</f>
        <v>AGYARE FELIX ADU</v>
      </c>
      <c r="C13" s="46" t="str">
        <f>IFERROR(Personnel!F11,"")</f>
        <v>Expat</v>
      </c>
      <c r="D13" s="46">
        <f>IFERROR(IF(Personnel!A11="","",Personnel!M11),"")</f>
        <v>22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</row>
    <row r="14" spans="1:20" ht="18" customHeight="1" x14ac:dyDescent="0.25">
      <c r="A14" s="43">
        <f>IFERROR(Personnel!A12,"")</f>
        <v>0</v>
      </c>
      <c r="B14" s="43">
        <f>IFERROR(Personnel!D12,"")</f>
        <v>0</v>
      </c>
      <c r="C14" s="43">
        <f>IFERROR(Personnel!F12,"")</f>
        <v>0</v>
      </c>
      <c r="D14" s="43" t="str">
        <f>IFERROR(IF(Personnel!A12="","",Personnel!M12),"")</f>
        <v/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</row>
    <row r="15" spans="1:20" ht="18" customHeight="1" x14ac:dyDescent="0.25">
      <c r="A15" s="46">
        <f>IFERROR(Personnel!A13,"")</f>
        <v>0</v>
      </c>
      <c r="B15" s="46">
        <f>IFERROR(Personnel!D13,"")</f>
        <v>0</v>
      </c>
      <c r="C15" s="46">
        <f>IFERROR(Personnel!F13,"")</f>
        <v>0</v>
      </c>
      <c r="D15" s="46" t="str">
        <f>IFERROR(IF(Personnel!A13="","",Personnel!M13),"")</f>
        <v/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</row>
    <row r="16" spans="1:20" ht="18" customHeight="1" x14ac:dyDescent="0.25">
      <c r="A16" s="43">
        <f>IFERROR(Personnel!A14,"")</f>
        <v>0</v>
      </c>
      <c r="B16" s="43">
        <f>IFERROR(Personnel!D14,"")</f>
        <v>0</v>
      </c>
      <c r="C16" s="43">
        <f>IFERROR(Personnel!F14,"")</f>
        <v>0</v>
      </c>
      <c r="D16" s="43" t="str">
        <f>IFERROR(IF(Personnel!A14="","",Personnel!M14),"")</f>
        <v/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</row>
    <row r="17" spans="1:20" ht="18" customHeight="1" x14ac:dyDescent="0.25">
      <c r="A17" s="46">
        <f>IFERROR(Personnel!A15,"")</f>
        <v>0</v>
      </c>
      <c r="B17" s="46">
        <f>IFERROR(Personnel!D15,"")</f>
        <v>0</v>
      </c>
      <c r="C17" s="46">
        <f>IFERROR(Personnel!F15,"")</f>
        <v>0</v>
      </c>
      <c r="D17" s="46" t="str">
        <f>IFERROR(IF(Personnel!A15="","",Personnel!M15),"")</f>
        <v/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</row>
    <row r="18" spans="1:20" ht="18" customHeight="1" x14ac:dyDescent="0.25">
      <c r="A18" s="43">
        <f>IFERROR(Personnel!A16,"")</f>
        <v>0</v>
      </c>
      <c r="B18" s="43">
        <f>IFERROR(Personnel!D16,"")</f>
        <v>0</v>
      </c>
      <c r="C18" s="43">
        <f>IFERROR(Personnel!F16,"")</f>
        <v>0</v>
      </c>
      <c r="D18" s="43" t="str">
        <f>IFERROR(IF(Personnel!A16="","",Personnel!M16),"")</f>
        <v/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</row>
    <row r="19" spans="1:20" ht="18" customHeight="1" x14ac:dyDescent="0.25">
      <c r="A19" s="46">
        <f>IFERROR(Personnel!A17,"")</f>
        <v>0</v>
      </c>
      <c r="B19" s="46">
        <f>IFERROR(Personnel!D17,"")</f>
        <v>0</v>
      </c>
      <c r="C19" s="46">
        <f>IFERROR(Personnel!F17,"")</f>
        <v>0</v>
      </c>
      <c r="D19" s="46" t="str">
        <f>IFERROR(IF(Personnel!A17="","",Personnel!M17),"")</f>
        <v/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</row>
    <row r="20" spans="1:20" ht="18" customHeight="1" x14ac:dyDescent="0.25">
      <c r="A20" s="43">
        <f>IFERROR(Personnel!A18,"")</f>
        <v>0</v>
      </c>
      <c r="B20" s="43">
        <f>IFERROR(Personnel!D18,"")</f>
        <v>0</v>
      </c>
      <c r="C20" s="43">
        <f>IFERROR(Personnel!F18,"")</f>
        <v>0</v>
      </c>
      <c r="D20" s="43" t="str">
        <f>IFERROR(IF(Personnel!A18="","",Personnel!M18),"")</f>
        <v/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</row>
    <row r="21" spans="1:20" ht="18" customHeight="1" x14ac:dyDescent="0.25">
      <c r="A21" s="46">
        <f>IFERROR(Personnel!A19,"")</f>
        <v>0</v>
      </c>
      <c r="B21" s="46">
        <f>IFERROR(Personnel!D19,"")</f>
        <v>0</v>
      </c>
      <c r="C21" s="46">
        <f>IFERROR(Personnel!F19,"")</f>
        <v>0</v>
      </c>
      <c r="D21" s="46" t="str">
        <f>IFERROR(IF(Personnel!A19="","",Personnel!M19),"")</f>
        <v/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</row>
    <row r="22" spans="1:20" ht="18" customHeight="1" x14ac:dyDescent="0.25">
      <c r="A22" s="43">
        <f>IFERROR(Personnel!A20,"")</f>
        <v>0</v>
      </c>
      <c r="B22" s="43">
        <f>IFERROR(Personnel!D20,"")</f>
        <v>0</v>
      </c>
      <c r="C22" s="43">
        <f>IFERROR(Personnel!F20,"")</f>
        <v>0</v>
      </c>
      <c r="D22" s="43" t="str">
        <f>IFERROR(IF(Personnel!A20="","",Personnel!M20),"")</f>
        <v/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</row>
    <row r="23" spans="1:20" ht="18" customHeight="1" x14ac:dyDescent="0.25">
      <c r="A23" s="46">
        <f>IFERROR(Personnel!A21,"")</f>
        <v>0</v>
      </c>
      <c r="B23" s="46">
        <f>IFERROR(Personnel!D21,"")</f>
        <v>0</v>
      </c>
      <c r="C23" s="46">
        <f>IFERROR(Personnel!F21,"")</f>
        <v>0</v>
      </c>
      <c r="D23" s="46" t="str">
        <f>IFERROR(IF(Personnel!A21="","",Personnel!M21),"")</f>
        <v/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</row>
    <row r="24" spans="1:20" ht="18" customHeight="1" x14ac:dyDescent="0.25">
      <c r="A24" s="43">
        <f>IFERROR(Personnel!A22,"")</f>
        <v>0</v>
      </c>
      <c r="B24" s="43">
        <f>IFERROR(Personnel!D22,"")</f>
        <v>0</v>
      </c>
      <c r="C24" s="43">
        <f>IFERROR(Personnel!F22,"")</f>
        <v>0</v>
      </c>
      <c r="D24" s="43" t="str">
        <f>IFERROR(IF(Personnel!A22="","",Personnel!M22),"")</f>
        <v/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1:20" ht="18" customHeight="1" x14ac:dyDescent="0.25">
      <c r="A25" s="46">
        <f>IFERROR(Personnel!A23,"")</f>
        <v>0</v>
      </c>
      <c r="B25" s="46">
        <f>IFERROR(Personnel!D23,"")</f>
        <v>0</v>
      </c>
      <c r="C25" s="46">
        <f>IFERROR(Personnel!F23,"")</f>
        <v>0</v>
      </c>
      <c r="D25" s="46" t="str">
        <f>IFERROR(IF(Personnel!A23="","",Personnel!M23),"")</f>
        <v/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</row>
    <row r="26" spans="1:20" ht="18" customHeight="1" x14ac:dyDescent="0.25">
      <c r="A26" s="43">
        <f>IFERROR(Personnel!A24,"")</f>
        <v>0</v>
      </c>
      <c r="B26" s="43">
        <f>IFERROR(Personnel!D24,"")</f>
        <v>0</v>
      </c>
      <c r="C26" s="43">
        <f>IFERROR(Personnel!F24,"")</f>
        <v>0</v>
      </c>
      <c r="D26" s="43" t="str">
        <f>IFERROR(IF(Personnel!A24="","",Personnel!M24),"")</f>
        <v/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</row>
    <row r="27" spans="1:20" ht="18" customHeight="1" x14ac:dyDescent="0.25">
      <c r="A27" s="46">
        <f>IFERROR(Personnel!A25,"")</f>
        <v>0</v>
      </c>
      <c r="B27" s="46">
        <f>IFERROR(Personnel!D25,"")</f>
        <v>0</v>
      </c>
      <c r="C27" s="46">
        <f>IFERROR(Personnel!F25,"")</f>
        <v>0</v>
      </c>
      <c r="D27" s="46" t="str">
        <f>IFERROR(IF(Personnel!A25="","",Personnel!M25),"")</f>
        <v/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</row>
    <row r="28" spans="1:20" ht="18" customHeight="1" x14ac:dyDescent="0.25">
      <c r="A28" s="43">
        <f>IFERROR(Personnel!A26,"")</f>
        <v>0</v>
      </c>
      <c r="B28" s="43">
        <f>IFERROR(Personnel!D26,"")</f>
        <v>0</v>
      </c>
      <c r="C28" s="43">
        <f>IFERROR(Personnel!F26,"")</f>
        <v>0</v>
      </c>
      <c r="D28" s="43" t="str">
        <f>IFERROR(IF(Personnel!A26="","",Personnel!M26),"")</f>
        <v/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</row>
    <row r="29" spans="1:20" ht="18" customHeight="1" x14ac:dyDescent="0.25">
      <c r="A29" s="46">
        <f>IFERROR(Personnel!A27,"")</f>
        <v>0</v>
      </c>
      <c r="B29" s="46">
        <f>IFERROR(Personnel!D27,"")</f>
        <v>0</v>
      </c>
      <c r="C29" s="46">
        <f>IFERROR(Personnel!F27,"")</f>
        <v>0</v>
      </c>
      <c r="D29" s="46" t="str">
        <f>IFERROR(IF(Personnel!A27="","",Personnel!M27),"")</f>
        <v/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</row>
    <row r="30" spans="1:20" ht="18" customHeight="1" x14ac:dyDescent="0.25">
      <c r="A30" s="43">
        <f>IFERROR(Personnel!A28,"")</f>
        <v>0</v>
      </c>
      <c r="B30" s="43">
        <f>IFERROR(Personnel!D28,"")</f>
        <v>0</v>
      </c>
      <c r="C30" s="43">
        <f>IFERROR(Personnel!F28,"")</f>
        <v>0</v>
      </c>
      <c r="D30" s="43" t="str">
        <f>IFERROR(IF(Personnel!A28="","",Personnel!M28),"")</f>
        <v/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</row>
    <row r="31" spans="1:20" ht="18" customHeight="1" x14ac:dyDescent="0.25">
      <c r="A31" s="46">
        <f>IFERROR(Personnel!A29,"")</f>
        <v>0</v>
      </c>
      <c r="B31" s="46">
        <f>IFERROR(Personnel!D29,"")</f>
        <v>0</v>
      </c>
      <c r="C31" s="46">
        <f>IFERROR(Personnel!F29,"")</f>
        <v>0</v>
      </c>
      <c r="D31" s="46" t="str">
        <f>IFERROR(IF(Personnel!A29="","",Personnel!M29),"")</f>
        <v/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</row>
    <row r="32" spans="1:20" ht="18" customHeight="1" x14ac:dyDescent="0.25">
      <c r="A32" s="43">
        <f>IFERROR(Personnel!A30,"")</f>
        <v>0</v>
      </c>
      <c r="B32" s="43">
        <f>IFERROR(Personnel!D30,"")</f>
        <v>0</v>
      </c>
      <c r="C32" s="43">
        <f>IFERROR(Personnel!F30,"")</f>
        <v>0</v>
      </c>
      <c r="D32" s="43" t="str">
        <f>IFERROR(IF(Personnel!A30="","",Personnel!M30),"")</f>
        <v/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</row>
    <row r="33" spans="1:20" ht="18" customHeight="1" x14ac:dyDescent="0.25">
      <c r="A33" s="46">
        <f>IFERROR(Personnel!A31,"")</f>
        <v>0</v>
      </c>
      <c r="B33" s="46">
        <f>IFERROR(Personnel!D31,"")</f>
        <v>0</v>
      </c>
      <c r="C33" s="46">
        <f>IFERROR(Personnel!F31,"")</f>
        <v>0</v>
      </c>
      <c r="D33" s="46" t="str">
        <f>IFERROR(IF(Personnel!A31="","",Personnel!M31),"")</f>
        <v/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</row>
    <row r="34" spans="1:20" ht="18" customHeight="1" x14ac:dyDescent="0.25">
      <c r="A34" s="43">
        <f>IFERROR(Personnel!A32,"")</f>
        <v>0</v>
      </c>
      <c r="B34" s="43">
        <f>IFERROR(Personnel!D32,"")</f>
        <v>0</v>
      </c>
      <c r="C34" s="43">
        <f>IFERROR(Personnel!F32,"")</f>
        <v>0</v>
      </c>
      <c r="D34" s="43" t="str">
        <f>IFERROR(IF(Personnel!A32="","",Personnel!M32),"")</f>
        <v/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</row>
    <row r="35" spans="1:20" ht="18" customHeight="1" x14ac:dyDescent="0.25">
      <c r="A35" s="46">
        <f>IFERROR(Personnel!A33,"")</f>
        <v>0</v>
      </c>
      <c r="B35" s="46">
        <f>IFERROR(Personnel!D33,"")</f>
        <v>0</v>
      </c>
      <c r="C35" s="46">
        <f>IFERROR(Personnel!F33,"")</f>
        <v>0</v>
      </c>
      <c r="D35" s="46" t="str">
        <f>IFERROR(IF(Personnel!A33="","",Personnel!M33),"")</f>
        <v/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</row>
    <row r="36" spans="1:20" ht="18" customHeight="1" x14ac:dyDescent="0.25">
      <c r="A36" s="43">
        <f>IFERROR(Personnel!A34,"")</f>
        <v>0</v>
      </c>
      <c r="B36" s="43">
        <f>IFERROR(Personnel!D34,"")</f>
        <v>0</v>
      </c>
      <c r="C36" s="43">
        <f>IFERROR(Personnel!F34,"")</f>
        <v>0</v>
      </c>
      <c r="D36" s="43" t="str">
        <f>IFERROR(IF(Personnel!A34="","",Personnel!M34),"")</f>
        <v/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</row>
    <row r="37" spans="1:20" ht="18" customHeight="1" x14ac:dyDescent="0.25">
      <c r="A37" s="46">
        <f>IFERROR(Personnel!A35,"")</f>
        <v>0</v>
      </c>
      <c r="B37" s="46">
        <f>IFERROR(Personnel!D35,"")</f>
        <v>0</v>
      </c>
      <c r="C37" s="46">
        <f>IFERROR(Personnel!F35,"")</f>
        <v>0</v>
      </c>
      <c r="D37" s="46" t="str">
        <f>IFERROR(IF(Personnel!A35="","",Personnel!M35),"")</f>
        <v/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</row>
    <row r="38" spans="1:20" ht="18" customHeight="1" x14ac:dyDescent="0.25">
      <c r="A38" s="43">
        <f>IFERROR(Personnel!A36,"")</f>
        <v>0</v>
      </c>
      <c r="B38" s="43">
        <f>IFERROR(Personnel!D36,"")</f>
        <v>0</v>
      </c>
      <c r="C38" s="43">
        <f>IFERROR(Personnel!F36,"")</f>
        <v>0</v>
      </c>
      <c r="D38" s="43" t="str">
        <f>IFERROR(IF(Personnel!A36="","",Personnel!M36),"")</f>
        <v/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</row>
    <row r="39" spans="1:20" ht="18" customHeight="1" x14ac:dyDescent="0.25">
      <c r="A39" s="46">
        <f>IFERROR(Personnel!A37,"")</f>
        <v>0</v>
      </c>
      <c r="B39" s="46">
        <f>IFERROR(Personnel!D37,"")</f>
        <v>0</v>
      </c>
      <c r="C39" s="46">
        <f>IFERROR(Personnel!F37,"")</f>
        <v>0</v>
      </c>
      <c r="D39" s="46" t="str">
        <f>IFERROR(IF(Personnel!A37="","",Personnel!M37),"")</f>
        <v/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</row>
    <row r="40" spans="1:20" ht="18" customHeight="1" x14ac:dyDescent="0.25">
      <c r="A40" s="43">
        <f>IFERROR(Personnel!A38,"")</f>
        <v>0</v>
      </c>
      <c r="B40" s="43">
        <f>IFERROR(Personnel!D38,"")</f>
        <v>0</v>
      </c>
      <c r="C40" s="43">
        <f>IFERROR(Personnel!F38,"")</f>
        <v>0</v>
      </c>
      <c r="D40" s="43" t="str">
        <f>IFERROR(IF(Personnel!A38="","",Personnel!M38),"")</f>
        <v/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</row>
    <row r="41" spans="1:20" ht="18" customHeight="1" x14ac:dyDescent="0.25">
      <c r="A41" s="46">
        <f>IFERROR(Personnel!A39,"")</f>
        <v>0</v>
      </c>
      <c r="B41" s="46">
        <f>IFERROR(Personnel!D39,"")</f>
        <v>0</v>
      </c>
      <c r="C41" s="46">
        <f>IFERROR(Personnel!F39,"")</f>
        <v>0</v>
      </c>
      <c r="D41" s="46" t="str">
        <f>IFERROR(IF(Personnel!A39="","",Personnel!M39),"")</f>
        <v/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</row>
    <row r="42" spans="1:20" ht="18" customHeight="1" x14ac:dyDescent="0.25">
      <c r="A42" s="43">
        <f>IFERROR(Personnel!A40,"")</f>
        <v>0</v>
      </c>
      <c r="B42" s="43">
        <f>IFERROR(Personnel!D40,"")</f>
        <v>0</v>
      </c>
      <c r="C42" s="43">
        <f>IFERROR(Personnel!F40,"")</f>
        <v>0</v>
      </c>
      <c r="D42" s="43" t="str">
        <f>IFERROR(IF(Personnel!A40="","",Personnel!M40),"")</f>
        <v/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</row>
    <row r="43" spans="1:20" ht="18" customHeight="1" x14ac:dyDescent="0.25">
      <c r="A43" s="46">
        <f>IFERROR(Personnel!A41,"")</f>
        <v>0</v>
      </c>
      <c r="B43" s="46">
        <f>IFERROR(Personnel!D41,"")</f>
        <v>0</v>
      </c>
      <c r="C43" s="46">
        <f>IFERROR(Personnel!F41,"")</f>
        <v>0</v>
      </c>
      <c r="D43" s="46" t="str">
        <f>IFERROR(IF(Personnel!A41="","",Personnel!M41),"")</f>
        <v/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</row>
    <row r="44" spans="1:20" ht="18" customHeight="1" x14ac:dyDescent="0.25">
      <c r="A44" s="43">
        <f>IFERROR(Personnel!A42,"")</f>
        <v>0</v>
      </c>
      <c r="B44" s="43">
        <f>IFERROR(Personnel!D42,"")</f>
        <v>0</v>
      </c>
      <c r="C44" s="43">
        <f>IFERROR(Personnel!F42,"")</f>
        <v>0</v>
      </c>
      <c r="D44" s="43" t="str">
        <f>IFERROR(IF(Personnel!A42="","",Personnel!M42),"")</f>
        <v/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</row>
    <row r="45" spans="1:20" ht="18" customHeight="1" x14ac:dyDescent="0.25">
      <c r="A45" s="46">
        <f>IFERROR(Personnel!A43,"")</f>
        <v>0</v>
      </c>
      <c r="B45" s="46">
        <f>IFERROR(Personnel!D43,"")</f>
        <v>0</v>
      </c>
      <c r="C45" s="46">
        <f>IFERROR(Personnel!F43,"")</f>
        <v>0</v>
      </c>
      <c r="D45" s="46" t="str">
        <f>IFERROR(IF(Personnel!A43="","",Personnel!M43),"")</f>
        <v/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</row>
    <row r="46" spans="1:20" ht="18" customHeight="1" x14ac:dyDescent="0.25">
      <c r="A46" s="43">
        <f>IFERROR(Personnel!A44,"")</f>
        <v>0</v>
      </c>
      <c r="B46" s="43">
        <f>IFERROR(Personnel!D44,"")</f>
        <v>0</v>
      </c>
      <c r="C46" s="43">
        <f>IFERROR(Personnel!F44,"")</f>
        <v>0</v>
      </c>
      <c r="D46" s="43" t="str">
        <f>IFERROR(IF(Personnel!A44="","",Personnel!M44),"")</f>
        <v/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</row>
    <row r="47" spans="1:20" ht="18" customHeight="1" x14ac:dyDescent="0.25">
      <c r="A47" s="46">
        <f>IFERROR(Personnel!A45,"")</f>
        <v>0</v>
      </c>
      <c r="B47" s="46">
        <f>IFERROR(Personnel!D45,"")</f>
        <v>0</v>
      </c>
      <c r="C47" s="46">
        <f>IFERROR(Personnel!F45,"")</f>
        <v>0</v>
      </c>
      <c r="D47" s="46" t="str">
        <f>IFERROR(IF(Personnel!A45="","",Personnel!M45),"")</f>
        <v/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</row>
    <row r="48" spans="1:20" ht="18" customHeight="1" x14ac:dyDescent="0.25">
      <c r="A48" s="43">
        <f>IFERROR(Personnel!A46,"")</f>
        <v>0</v>
      </c>
      <c r="B48" s="43">
        <f>IFERROR(Personnel!D46,"")</f>
        <v>0</v>
      </c>
      <c r="C48" s="43">
        <f>IFERROR(Personnel!F46,"")</f>
        <v>0</v>
      </c>
      <c r="D48" s="43" t="str">
        <f>IFERROR(IF(Personnel!A46="","",Personnel!M46),"")</f>
        <v/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</row>
    <row r="49" spans="1:20" ht="18" customHeight="1" x14ac:dyDescent="0.25">
      <c r="A49" s="46">
        <f>IFERROR(Personnel!A47,"")</f>
        <v>0</v>
      </c>
      <c r="B49" s="46">
        <f>IFERROR(Personnel!D47,"")</f>
        <v>0</v>
      </c>
      <c r="C49" s="46">
        <f>IFERROR(Personnel!F47,"")</f>
        <v>0</v>
      </c>
      <c r="D49" s="46" t="str">
        <f>IFERROR(IF(Personnel!A47="","",Personnel!M47),"")</f>
        <v/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</row>
    <row r="50" spans="1:20" ht="18" customHeight="1" x14ac:dyDescent="0.25">
      <c r="A50" s="43">
        <f>IFERROR(Personnel!A48,"")</f>
        <v>0</v>
      </c>
      <c r="B50" s="43">
        <f>IFERROR(Personnel!D48,"")</f>
        <v>0</v>
      </c>
      <c r="C50" s="43">
        <f>IFERROR(Personnel!F48,"")</f>
        <v>0</v>
      </c>
      <c r="D50" s="43" t="str">
        <f>IFERROR(IF(Personnel!A48="","",Personnel!M48),"")</f>
        <v/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</row>
    <row r="51" spans="1:20" ht="18" customHeight="1" x14ac:dyDescent="0.25">
      <c r="A51" s="46">
        <f>IFERROR(Personnel!A49,"")</f>
        <v>0</v>
      </c>
      <c r="B51" s="46">
        <f>IFERROR(Personnel!D49,"")</f>
        <v>0</v>
      </c>
      <c r="C51" s="46">
        <f>IFERROR(Personnel!F49,"")</f>
        <v>0</v>
      </c>
      <c r="D51" s="46" t="str">
        <f>IFERROR(IF(Personnel!A49="","",Personnel!M49),"")</f>
        <v/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</row>
    <row r="52" spans="1:20" ht="18" customHeight="1" x14ac:dyDescent="0.25">
      <c r="A52" s="43">
        <f>IFERROR(Personnel!A50,"")</f>
        <v>0</v>
      </c>
      <c r="B52" s="43">
        <f>IFERROR(Personnel!D50,"")</f>
        <v>0</v>
      </c>
      <c r="C52" s="43">
        <f>IFERROR(Personnel!F50,"")</f>
        <v>0</v>
      </c>
      <c r="D52" s="43" t="str">
        <f>IFERROR(IF(Personnel!A50="","",Personnel!M50),"")</f>
        <v/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</row>
    <row r="53" spans="1:20" ht="18" customHeight="1" x14ac:dyDescent="0.25">
      <c r="A53" s="46">
        <f>IFERROR(Personnel!A51,"")</f>
        <v>0</v>
      </c>
      <c r="B53" s="46">
        <f>IFERROR(Personnel!D51,"")</f>
        <v>0</v>
      </c>
      <c r="C53" s="46">
        <f>IFERROR(Personnel!F51,"")</f>
        <v>0</v>
      </c>
      <c r="D53" s="46" t="str">
        <f>IFERROR(IF(Personnel!A51="","",Personnel!M51),"")</f>
        <v/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</row>
  </sheetData>
  <mergeCells count="1">
    <mergeCell ref="A1:T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31D61-C4EF-42DE-A02A-B308FC5054C5}">
  <sheetPr codeName="Feuil6">
    <tabColor rgb="FFFFC000"/>
  </sheetPr>
  <dimension ref="A1:O60"/>
  <sheetViews>
    <sheetView showGridLines="0" workbookViewId="0">
      <selection activeCell="E23" sqref="E23"/>
    </sheetView>
  </sheetViews>
  <sheetFormatPr baseColWidth="10" defaultRowHeight="15" x14ac:dyDescent="0.25"/>
  <cols>
    <col min="1" max="4" width="4.7109375" customWidth="1"/>
    <col min="5" max="5" width="18.7109375" customWidth="1"/>
    <col min="6" max="6" width="8.7109375" customWidth="1"/>
    <col min="7" max="7" width="14.7109375" customWidth="1"/>
    <col min="8" max="8" width="8.7109375" customWidth="1"/>
    <col min="9" max="10" width="14.7109375" customWidth="1"/>
    <col min="11" max="11" width="8.7109375" customWidth="1"/>
    <col min="12" max="13" width="14.7109375" customWidth="1"/>
    <col min="14" max="14" width="8.7109375" customWidth="1"/>
    <col min="15" max="15" width="14.7109375" customWidth="1"/>
  </cols>
  <sheetData>
    <row r="1" spans="1:15" ht="12" customHeight="1" x14ac:dyDescent="0.25">
      <c r="N1" s="49" t="s">
        <v>203</v>
      </c>
      <c r="O1" s="50"/>
    </row>
    <row r="2" spans="1:15" ht="21.95" customHeight="1" x14ac:dyDescent="0.25">
      <c r="A2" s="115" t="s">
        <v>201</v>
      </c>
      <c r="B2" s="116"/>
      <c r="C2" s="116"/>
      <c r="D2" s="116"/>
      <c r="E2" s="117" t="s">
        <v>19</v>
      </c>
      <c r="F2" s="117"/>
      <c r="G2" s="117"/>
      <c r="H2" s="117"/>
      <c r="I2" s="117"/>
      <c r="J2" s="117"/>
      <c r="K2" s="117"/>
      <c r="L2" s="117"/>
      <c r="M2" s="117"/>
      <c r="N2" s="117"/>
      <c r="O2" s="117"/>
    </row>
    <row r="3" spans="1:15" ht="15.95" customHeight="1" x14ac:dyDescent="0.25">
      <c r="A3" s="116"/>
      <c r="B3" s="116"/>
      <c r="C3" s="116"/>
      <c r="D3" s="116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</row>
    <row r="4" spans="1:15" ht="15.95" customHeight="1" x14ac:dyDescent="0.25">
      <c r="A4" s="116"/>
      <c r="B4" s="116"/>
      <c r="C4" s="116"/>
      <c r="D4" s="116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</row>
    <row r="5" spans="1:15" ht="15.95" customHeight="1" x14ac:dyDescent="0.25">
      <c r="A5" s="116"/>
      <c r="B5" s="116"/>
      <c r="C5" s="116"/>
      <c r="D5" s="116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</row>
    <row r="6" spans="1:15" ht="15.95" customHeight="1" x14ac:dyDescent="0.25"/>
    <row r="7" spans="1:15" ht="15.95" customHeight="1" x14ac:dyDescent="0.25"/>
    <row r="8" spans="1:15" ht="26.1" customHeight="1" x14ac:dyDescent="0.35">
      <c r="A8" s="118" t="s">
        <v>202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</row>
    <row r="9" spans="1:15" ht="18" customHeight="1" thickBot="1" x14ac:dyDescent="0.3">
      <c r="A9" s="107" t="s">
        <v>183</v>
      </c>
      <c r="B9" s="108"/>
      <c r="C9" s="108"/>
      <c r="D9" s="108"/>
      <c r="E9" s="109" t="str">
        <f>Identification!C12&amp;" "&amp;Identification!C13</f>
        <v>Avril 2026</v>
      </c>
      <c r="F9" s="108"/>
      <c r="G9" s="108"/>
      <c r="H9" s="108"/>
      <c r="I9" s="110" t="s">
        <v>204</v>
      </c>
      <c r="J9" s="108"/>
      <c r="K9" s="108"/>
      <c r="L9" s="111">
        <f>EOMONTH(Identification!C14,0)</f>
        <v>46142</v>
      </c>
      <c r="M9" s="108"/>
      <c r="N9" s="108"/>
      <c r="O9" s="108"/>
    </row>
    <row r="10" spans="1:15" ht="18" customHeight="1" thickTop="1" x14ac:dyDescent="0.25">
      <c r="A10" s="112" t="s">
        <v>205</v>
      </c>
      <c r="B10" s="113"/>
      <c r="C10" s="3"/>
      <c r="D10" s="3"/>
      <c r="E10" s="114" t="s">
        <v>31</v>
      </c>
      <c r="F10" s="113"/>
      <c r="G10" s="3" t="str">
        <f>IFERROR(VLOOKUP($O$1,Personnel!$A:$R,5,0),"")</f>
        <v/>
      </c>
      <c r="H10" s="3"/>
      <c r="I10" s="114" t="s">
        <v>126</v>
      </c>
      <c r="J10" s="113"/>
      <c r="K10" s="3" t="str">
        <f>IFERROR(VLOOKUP($O$1,Personnel!$A:$R,1,0),"")</f>
        <v/>
      </c>
      <c r="L10" s="3"/>
      <c r="M10" s="114" t="s">
        <v>206</v>
      </c>
      <c r="N10" s="113"/>
      <c r="O10" s="6" t="str">
        <f ca="1">IFERROR(DATEDIF(DATEVALUE(VLOOKUP($O$1,Personnel!$A:$R,7,0)),TODAY(),"m")&amp;" Mois","")</f>
        <v/>
      </c>
    </row>
    <row r="11" spans="1:15" ht="18" customHeight="1" x14ac:dyDescent="0.25">
      <c r="A11" s="125" t="s">
        <v>207</v>
      </c>
      <c r="B11" s="126"/>
      <c r="C11" s="1"/>
      <c r="D11" s="1"/>
      <c r="E11" s="122" t="s">
        <v>208</v>
      </c>
      <c r="F11" s="126"/>
      <c r="G11" s="1" t="str">
        <f>IFERROR(VLOOKUP($O$1,Personnel!$A:$R,8,0),"")</f>
        <v/>
      </c>
      <c r="H11" s="1"/>
      <c r="I11" s="122" t="s">
        <v>133</v>
      </c>
      <c r="J11" s="126"/>
      <c r="K11" s="1" t="str">
        <f>IFERROR(VLOOKUP($O$1,Personnel!$A:$R,3,0),"")</f>
        <v/>
      </c>
      <c r="L11" s="1"/>
      <c r="M11" s="122" t="s">
        <v>209</v>
      </c>
      <c r="N11" s="126"/>
      <c r="O11" s="9"/>
    </row>
    <row r="12" spans="1:15" ht="18" customHeight="1" x14ac:dyDescent="0.25">
      <c r="A12" s="121" t="str">
        <f>IFERROR(VLOOKUP($O$1,Personnel!$A:$R,4,0),"")</f>
        <v/>
      </c>
      <c r="B12" s="122"/>
      <c r="C12" s="122"/>
      <c r="D12" s="123"/>
      <c r="E12" s="122" t="s">
        <v>130</v>
      </c>
      <c r="F12" s="126"/>
      <c r="G12" s="1" t="str">
        <f>IFERROR(VLOOKUP($O$1,Personnel!$A:$R,5,0),"")</f>
        <v/>
      </c>
      <c r="H12" s="1"/>
      <c r="I12" s="122" t="s">
        <v>185</v>
      </c>
      <c r="J12" s="126"/>
      <c r="K12" s="1" t="str">
        <f>IFERROR(VLOOKUP($O$1,Personnel!$A:$R,6,0),"")</f>
        <v/>
      </c>
      <c r="L12" s="1"/>
      <c r="M12" s="122" t="s">
        <v>142</v>
      </c>
      <c r="N12" s="126"/>
      <c r="O12" s="9" t="str">
        <f>IFERROR(VLOOKUP($O$1,Personnel!$A:$R,18,0),"")</f>
        <v/>
      </c>
    </row>
    <row r="13" spans="1:15" ht="18" customHeight="1" thickBot="1" x14ac:dyDescent="0.3">
      <c r="A13" s="131" t="s">
        <v>210</v>
      </c>
      <c r="B13" s="120"/>
      <c r="C13" s="11"/>
      <c r="D13" s="11"/>
      <c r="E13" s="119" t="s">
        <v>135</v>
      </c>
      <c r="F13" s="120"/>
      <c r="G13" s="11" t="str">
        <f>IFERROR(VLOOKUP($O$1,Personnel!$A:$R,11,0),"")</f>
        <v/>
      </c>
      <c r="H13" s="11"/>
      <c r="I13" s="119" t="s">
        <v>137</v>
      </c>
      <c r="J13" s="120"/>
      <c r="K13" s="11" t="str">
        <f>IFERROR(VLOOKUP($O$1,Personnel!$A:$R,13,0),"")</f>
        <v/>
      </c>
      <c r="L13" s="11"/>
      <c r="M13" s="119" t="s">
        <v>211</v>
      </c>
      <c r="N13" s="120"/>
      <c r="O13" s="14"/>
    </row>
    <row r="14" spans="1:15" ht="8.1" customHeight="1" thickTop="1" x14ac:dyDescent="0.25"/>
    <row r="15" spans="1:15" ht="20.100000000000001" customHeight="1" thickBot="1" x14ac:dyDescent="0.3">
      <c r="C15" s="124" t="s">
        <v>212</v>
      </c>
      <c r="D15" s="124"/>
      <c r="E15" s="124"/>
      <c r="F15" s="124"/>
      <c r="H15" s="124" t="s">
        <v>213</v>
      </c>
      <c r="I15" s="124"/>
      <c r="J15" s="124"/>
      <c r="K15" s="124"/>
    </row>
    <row r="16" spans="1:15" ht="20.100000000000001" customHeight="1" thickTop="1" x14ac:dyDescent="0.25">
      <c r="A16" s="57" t="s">
        <v>214</v>
      </c>
      <c r="B16" s="58"/>
      <c r="C16" s="58" t="s">
        <v>215</v>
      </c>
      <c r="D16" s="58"/>
      <c r="E16" s="58" t="s">
        <v>216</v>
      </c>
      <c r="F16" s="58" t="s">
        <v>217</v>
      </c>
      <c r="G16" s="58" t="s">
        <v>218</v>
      </c>
      <c r="H16" s="58" t="s">
        <v>47</v>
      </c>
      <c r="I16" s="58" t="s">
        <v>219</v>
      </c>
      <c r="J16" s="58" t="s">
        <v>218</v>
      </c>
      <c r="K16" s="58" t="s">
        <v>220</v>
      </c>
      <c r="L16" s="59" t="s">
        <v>219</v>
      </c>
    </row>
    <row r="17" spans="1:12" ht="17.100000000000001" customHeight="1" x14ac:dyDescent="0.25">
      <c r="A17" s="127"/>
      <c r="B17" s="116"/>
      <c r="C17" s="128"/>
      <c r="D17" s="126"/>
      <c r="E17" s="51"/>
      <c r="F17" s="52"/>
      <c r="G17" s="53"/>
      <c r="H17" s="52"/>
      <c r="I17" s="52"/>
      <c r="J17" s="53"/>
      <c r="K17" s="52"/>
      <c r="L17" s="60"/>
    </row>
    <row r="18" spans="1:12" ht="17.100000000000001" customHeight="1" x14ac:dyDescent="0.25">
      <c r="A18" s="129"/>
      <c r="B18" s="116"/>
      <c r="C18" s="130"/>
      <c r="D18" s="126"/>
      <c r="E18" s="54"/>
      <c r="F18" s="55"/>
      <c r="G18" s="56"/>
      <c r="H18" s="55"/>
      <c r="I18" s="55"/>
      <c r="J18" s="56"/>
      <c r="K18" s="55"/>
      <c r="L18" s="61"/>
    </row>
    <row r="19" spans="1:12" ht="17.100000000000001" customHeight="1" x14ac:dyDescent="0.25">
      <c r="A19" s="127"/>
      <c r="B19" s="116"/>
      <c r="C19" s="128"/>
      <c r="D19" s="126"/>
      <c r="E19" s="51"/>
      <c r="F19" s="52"/>
      <c r="G19" s="53"/>
      <c r="H19" s="52"/>
      <c r="I19" s="52"/>
      <c r="J19" s="53"/>
      <c r="K19" s="52"/>
      <c r="L19" s="60"/>
    </row>
    <row r="20" spans="1:12" ht="17.100000000000001" customHeight="1" x14ac:dyDescent="0.25">
      <c r="A20" s="129"/>
      <c r="B20" s="116"/>
      <c r="C20" s="130"/>
      <c r="D20" s="126"/>
      <c r="E20" s="54"/>
      <c r="F20" s="55"/>
      <c r="G20" s="56"/>
      <c r="H20" s="55"/>
      <c r="I20" s="55"/>
      <c r="J20" s="56"/>
      <c r="K20" s="55"/>
      <c r="L20" s="61"/>
    </row>
    <row r="21" spans="1:12" ht="17.100000000000001" customHeight="1" x14ac:dyDescent="0.25">
      <c r="A21" s="127"/>
      <c r="B21" s="116"/>
      <c r="C21" s="128"/>
      <c r="D21" s="126"/>
      <c r="E21" s="51"/>
      <c r="F21" s="52"/>
      <c r="G21" s="53"/>
      <c r="H21" s="52"/>
      <c r="I21" s="52"/>
      <c r="J21" s="53"/>
      <c r="K21" s="52"/>
      <c r="L21" s="60"/>
    </row>
    <row r="22" spans="1:12" ht="17.100000000000001" customHeight="1" x14ac:dyDescent="0.25">
      <c r="A22" s="129"/>
      <c r="B22" s="116"/>
      <c r="C22" s="130"/>
      <c r="D22" s="126"/>
      <c r="E22" s="54"/>
      <c r="F22" s="55"/>
      <c r="G22" s="56"/>
      <c r="H22" s="55"/>
      <c r="I22" s="55"/>
      <c r="J22" s="56"/>
      <c r="K22" s="55"/>
      <c r="L22" s="61"/>
    </row>
    <row r="23" spans="1:12" ht="17.100000000000001" customHeight="1" x14ac:dyDescent="0.25">
      <c r="A23" s="127"/>
      <c r="B23" s="116"/>
      <c r="C23" s="128"/>
      <c r="D23" s="126"/>
      <c r="E23" s="51"/>
      <c r="F23" s="52"/>
      <c r="G23" s="53"/>
      <c r="H23" s="52"/>
      <c r="I23" s="52"/>
      <c r="J23" s="53"/>
      <c r="K23" s="52"/>
      <c r="L23" s="60"/>
    </row>
    <row r="24" spans="1:12" ht="17.100000000000001" customHeight="1" x14ac:dyDescent="0.25">
      <c r="A24" s="129"/>
      <c r="B24" s="116"/>
      <c r="C24" s="130"/>
      <c r="D24" s="126"/>
      <c r="E24" s="54"/>
      <c r="F24" s="55"/>
      <c r="G24" s="56"/>
      <c r="H24" s="55"/>
      <c r="I24" s="55"/>
      <c r="J24" s="56"/>
      <c r="K24" s="55"/>
      <c r="L24" s="61"/>
    </row>
    <row r="25" spans="1:12" ht="17.100000000000001" customHeight="1" x14ac:dyDescent="0.25">
      <c r="A25" s="127"/>
      <c r="B25" s="116"/>
      <c r="C25" s="128"/>
      <c r="D25" s="126"/>
      <c r="E25" s="51"/>
      <c r="F25" s="52"/>
      <c r="G25" s="53"/>
      <c r="H25" s="52"/>
      <c r="I25" s="52"/>
      <c r="J25" s="53"/>
      <c r="K25" s="52"/>
      <c r="L25" s="60"/>
    </row>
    <row r="26" spans="1:12" ht="17.100000000000001" customHeight="1" x14ac:dyDescent="0.25">
      <c r="A26" s="129"/>
      <c r="B26" s="116"/>
      <c r="C26" s="130"/>
      <c r="D26" s="126"/>
      <c r="E26" s="54"/>
      <c r="F26" s="55"/>
      <c r="G26" s="56"/>
      <c r="H26" s="55"/>
      <c r="I26" s="55"/>
      <c r="J26" s="56"/>
      <c r="K26" s="55"/>
      <c r="L26" s="61"/>
    </row>
    <row r="27" spans="1:12" ht="17.100000000000001" customHeight="1" x14ac:dyDescent="0.25">
      <c r="A27" s="127"/>
      <c r="B27" s="116"/>
      <c r="C27" s="128"/>
      <c r="D27" s="126"/>
      <c r="E27" s="51"/>
      <c r="F27" s="52"/>
      <c r="G27" s="53"/>
      <c r="H27" s="52"/>
      <c r="I27" s="52"/>
      <c r="J27" s="53"/>
      <c r="K27" s="52"/>
      <c r="L27" s="60"/>
    </row>
    <row r="28" spans="1:12" ht="17.100000000000001" customHeight="1" x14ac:dyDescent="0.25">
      <c r="A28" s="129"/>
      <c r="B28" s="116"/>
      <c r="C28" s="130"/>
      <c r="D28" s="126"/>
      <c r="E28" s="54"/>
      <c r="F28" s="55"/>
      <c r="G28" s="56"/>
      <c r="H28" s="55"/>
      <c r="I28" s="55"/>
      <c r="J28" s="56"/>
      <c r="K28" s="55"/>
      <c r="L28" s="61"/>
    </row>
    <row r="29" spans="1:12" ht="17.100000000000001" customHeight="1" x14ac:dyDescent="0.25">
      <c r="A29" s="127"/>
      <c r="B29" s="116"/>
      <c r="C29" s="128"/>
      <c r="D29" s="126"/>
      <c r="E29" s="51"/>
      <c r="F29" s="52"/>
      <c r="G29" s="53"/>
      <c r="H29" s="52"/>
      <c r="I29" s="52"/>
      <c r="J29" s="53"/>
      <c r="K29" s="52"/>
      <c r="L29" s="60"/>
    </row>
    <row r="30" spans="1:12" ht="17.100000000000001" customHeight="1" x14ac:dyDescent="0.25">
      <c r="A30" s="129"/>
      <c r="B30" s="116"/>
      <c r="C30" s="130"/>
      <c r="D30" s="126"/>
      <c r="E30" s="54"/>
      <c r="F30" s="55"/>
      <c r="G30" s="56"/>
      <c r="H30" s="55"/>
      <c r="I30" s="55"/>
      <c r="J30" s="56"/>
      <c r="K30" s="55"/>
      <c r="L30" s="61"/>
    </row>
    <row r="31" spans="1:12" ht="17.100000000000001" customHeight="1" x14ac:dyDescent="0.25">
      <c r="A31" s="127"/>
      <c r="B31" s="116"/>
      <c r="C31" s="128"/>
      <c r="D31" s="126"/>
      <c r="E31" s="51"/>
      <c r="F31" s="52"/>
      <c r="G31" s="53"/>
      <c r="H31" s="52"/>
      <c r="I31" s="52"/>
      <c r="J31" s="53"/>
      <c r="K31" s="52"/>
      <c r="L31" s="60"/>
    </row>
    <row r="32" spans="1:12" ht="17.100000000000001" customHeight="1" x14ac:dyDescent="0.25">
      <c r="A32" s="129"/>
      <c r="B32" s="116"/>
      <c r="C32" s="130"/>
      <c r="D32" s="126"/>
      <c r="E32" s="54"/>
      <c r="F32" s="55"/>
      <c r="G32" s="56"/>
      <c r="H32" s="55"/>
      <c r="I32" s="55"/>
      <c r="J32" s="56"/>
      <c r="K32" s="55"/>
      <c r="L32" s="61"/>
    </row>
    <row r="33" spans="1:15" ht="17.100000000000001" customHeight="1" x14ac:dyDescent="0.25">
      <c r="A33" s="127"/>
      <c r="B33" s="116"/>
      <c r="C33" s="128"/>
      <c r="D33" s="126"/>
      <c r="E33" s="51"/>
      <c r="F33" s="52"/>
      <c r="G33" s="53"/>
      <c r="H33" s="52"/>
      <c r="I33" s="52"/>
      <c r="J33" s="53"/>
      <c r="K33" s="52"/>
      <c r="L33" s="60"/>
    </row>
    <row r="34" spans="1:15" ht="17.100000000000001" customHeight="1" x14ac:dyDescent="0.25">
      <c r="A34" s="129"/>
      <c r="B34" s="116"/>
      <c r="C34" s="130"/>
      <c r="D34" s="126"/>
      <c r="E34" s="54"/>
      <c r="F34" s="55"/>
      <c r="G34" s="56"/>
      <c r="H34" s="55"/>
      <c r="I34" s="55"/>
      <c r="J34" s="56"/>
      <c r="K34" s="55"/>
      <c r="L34" s="61"/>
    </row>
    <row r="35" spans="1:15" ht="17.100000000000001" customHeight="1" x14ac:dyDescent="0.25">
      <c r="A35" s="127"/>
      <c r="B35" s="116"/>
      <c r="C35" s="128"/>
      <c r="D35" s="126"/>
      <c r="E35" s="51"/>
      <c r="F35" s="52"/>
      <c r="G35" s="53"/>
      <c r="H35" s="52"/>
      <c r="I35" s="52"/>
      <c r="J35" s="53"/>
      <c r="K35" s="52"/>
      <c r="L35" s="60"/>
    </row>
    <row r="36" spans="1:15" ht="17.100000000000001" customHeight="1" x14ac:dyDescent="0.25">
      <c r="A36" s="129"/>
      <c r="B36" s="116"/>
      <c r="C36" s="130"/>
      <c r="D36" s="126"/>
      <c r="E36" s="54"/>
      <c r="F36" s="55"/>
      <c r="G36" s="56"/>
      <c r="H36" s="55"/>
      <c r="I36" s="55"/>
      <c r="J36" s="56"/>
      <c r="K36" s="55"/>
      <c r="L36" s="61"/>
    </row>
    <row r="37" spans="1:15" ht="17.100000000000001" customHeight="1" x14ac:dyDescent="0.25">
      <c r="A37" s="127"/>
      <c r="B37" s="116"/>
      <c r="C37" s="128"/>
      <c r="D37" s="126"/>
      <c r="E37" s="51"/>
      <c r="F37" s="52"/>
      <c r="G37" s="53"/>
      <c r="H37" s="52"/>
      <c r="I37" s="52"/>
      <c r="J37" s="53"/>
      <c r="K37" s="52"/>
      <c r="L37" s="60"/>
    </row>
    <row r="38" spans="1:15" ht="17.100000000000001" customHeight="1" x14ac:dyDescent="0.25">
      <c r="A38" s="129"/>
      <c r="B38" s="116"/>
      <c r="C38" s="130"/>
      <c r="D38" s="126"/>
      <c r="E38" s="54"/>
      <c r="F38" s="55"/>
      <c r="G38" s="56"/>
      <c r="H38" s="55"/>
      <c r="I38" s="55"/>
      <c r="J38" s="56"/>
      <c r="K38" s="55"/>
      <c r="L38" s="61"/>
    </row>
    <row r="39" spans="1:15" ht="17.100000000000001" customHeight="1" x14ac:dyDescent="0.25">
      <c r="A39" s="127"/>
      <c r="B39" s="116"/>
      <c r="C39" s="128"/>
      <c r="D39" s="126"/>
      <c r="E39" s="51"/>
      <c r="F39" s="52"/>
      <c r="G39" s="53"/>
      <c r="H39" s="52"/>
      <c r="I39" s="52"/>
      <c r="J39" s="53"/>
      <c r="K39" s="52"/>
      <c r="L39" s="60"/>
    </row>
    <row r="40" spans="1:15" ht="17.100000000000001" customHeight="1" x14ac:dyDescent="0.25">
      <c r="A40" s="129"/>
      <c r="B40" s="116"/>
      <c r="C40" s="130"/>
      <c r="D40" s="126"/>
      <c r="E40" s="54"/>
      <c r="F40" s="55"/>
      <c r="G40" s="56"/>
      <c r="H40" s="55"/>
      <c r="I40" s="55"/>
      <c r="J40" s="56"/>
      <c r="K40" s="55"/>
      <c r="L40" s="61"/>
    </row>
    <row r="41" spans="1:15" ht="17.100000000000001" customHeight="1" x14ac:dyDescent="0.25">
      <c r="A41" s="127"/>
      <c r="B41" s="116"/>
      <c r="C41" s="128"/>
      <c r="D41" s="126"/>
      <c r="E41" s="51"/>
      <c r="F41" s="52"/>
      <c r="G41" s="53"/>
      <c r="H41" s="52"/>
      <c r="I41" s="52"/>
      <c r="J41" s="53"/>
      <c r="K41" s="52"/>
      <c r="L41" s="60"/>
    </row>
    <row r="42" spans="1:15" ht="20.100000000000001" customHeight="1" x14ac:dyDescent="0.25">
      <c r="A42" s="132" t="s">
        <v>221</v>
      </c>
      <c r="B42" s="126"/>
      <c r="C42" s="126"/>
      <c r="D42" s="126"/>
      <c r="E42" s="126"/>
      <c r="F42" s="126"/>
      <c r="G42" s="126"/>
      <c r="H42" s="62">
        <f>SUM(I17:I41)</f>
        <v>0</v>
      </c>
      <c r="I42" s="62">
        <f>SUM(J17:J41)</f>
        <v>0</v>
      </c>
      <c r="L42" s="16"/>
    </row>
    <row r="43" spans="1:15" ht="20.100000000000001" customHeight="1" x14ac:dyDescent="0.25">
      <c r="A43" s="133" t="s">
        <v>222</v>
      </c>
      <c r="B43" s="126"/>
      <c r="C43" s="126"/>
      <c r="D43" s="126"/>
      <c r="E43" s="126"/>
      <c r="F43" s="126"/>
      <c r="G43" s="126"/>
      <c r="I43" s="63">
        <f>SUM(J17:J41)</f>
        <v>0</v>
      </c>
      <c r="L43" s="64">
        <f>SUM(L17:L41)</f>
        <v>0</v>
      </c>
    </row>
    <row r="44" spans="1:15" x14ac:dyDescent="0.25">
      <c r="A44" s="65"/>
      <c r="L44" s="16"/>
    </row>
    <row r="45" spans="1:15" ht="27.95" customHeight="1" x14ac:dyDescent="0.3">
      <c r="A45" s="134" t="s">
        <v>223</v>
      </c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135"/>
      <c r="M45" s="74"/>
      <c r="N45" s="74"/>
      <c r="O45" s="74"/>
    </row>
    <row r="46" spans="1:15" ht="27.95" customHeight="1" thickBot="1" x14ac:dyDescent="0.45">
      <c r="A46" s="136">
        <f>I42-J42</f>
        <v>0</v>
      </c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8"/>
      <c r="M46" s="74"/>
      <c r="N46" s="74"/>
      <c r="O46" s="74"/>
    </row>
    <row r="47" spans="1:15" ht="15.75" thickTop="1" x14ac:dyDescent="0.25">
      <c r="A47" s="109" t="str">
        <f>IFERROR(VLOOKUP($O$1,Personnel!$A:$R,11,0),"")</f>
        <v/>
      </c>
      <c r="B47" s="109"/>
      <c r="C47" s="109"/>
      <c r="D47" s="109"/>
      <c r="E47" s="109"/>
    </row>
    <row r="49" spans="1:15" ht="21.95" customHeight="1" x14ac:dyDescent="0.25">
      <c r="A49" s="141" t="s">
        <v>224</v>
      </c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</row>
    <row r="50" spans="1:15" ht="18" customHeight="1" x14ac:dyDescent="0.25">
      <c r="A50" s="142" t="s">
        <v>225</v>
      </c>
      <c r="B50" s="142"/>
      <c r="C50" s="142"/>
      <c r="D50" s="142" t="s">
        <v>226</v>
      </c>
      <c r="E50" s="142"/>
      <c r="F50" s="142"/>
      <c r="G50" s="142" t="s">
        <v>227</v>
      </c>
      <c r="H50" s="142"/>
      <c r="I50" s="142"/>
      <c r="J50" s="142" t="s">
        <v>228</v>
      </c>
      <c r="K50" s="142"/>
      <c r="L50" s="142"/>
      <c r="M50" s="142" t="s">
        <v>229</v>
      </c>
      <c r="N50" s="142"/>
      <c r="O50" s="142"/>
    </row>
    <row r="51" spans="1:15" ht="20.100000000000001" customHeight="1" x14ac:dyDescent="0.25">
      <c r="A51" s="139">
        <f>I42 + SUMIFS('Paid-Data'!G:G,'Paid-Data'!A:A,$O$1,'Paid-Data'!P:P,Identification!C13-1)</f>
        <v>0</v>
      </c>
      <c r="B51" s="139"/>
      <c r="C51" s="139"/>
      <c r="D51" s="139">
        <f>I42 + SUMIFS('Paid-Data'!G:G,'Paid-Data'!A:A,$O$1,'Paid-Data'!P:P,Identification!C13-1)</f>
        <v>0</v>
      </c>
      <c r="E51" s="139"/>
      <c r="F51" s="139"/>
      <c r="G51" s="139">
        <f>J42 + SUMIFS('Paid-Data'!G:G,'Paid-Data'!A:A,$O$1,'Paid-Data'!P:P,Identification!C13-1)</f>
        <v>0</v>
      </c>
      <c r="H51" s="139"/>
      <c r="I51" s="139"/>
      <c r="J51" s="139">
        <f>L42 + SUMIFS('Paid-Data'!G:G,'Paid-Data'!A:A,$O$1,'Paid-Data'!P:P,Identification!C13-1)</f>
        <v>0</v>
      </c>
      <c r="K51" s="139"/>
      <c r="L51" s="139"/>
      <c r="M51" s="140">
        <f>E5 + SUMIFS('Paid-Data'!G:G,'Paid-Data'!A:A,$O$1,'Paid-Data'!P:P,Identification!C13-1)</f>
        <v>0</v>
      </c>
      <c r="N51" s="140"/>
      <c r="O51" s="140"/>
    </row>
    <row r="53" spans="1:15" ht="21.95" customHeight="1" x14ac:dyDescent="0.25">
      <c r="A53" s="141" t="s">
        <v>230</v>
      </c>
      <c r="B53" s="116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</row>
    <row r="54" spans="1:15" ht="18" customHeight="1" x14ac:dyDescent="0.25">
      <c r="A54" s="142" t="s">
        <v>231</v>
      </c>
      <c r="B54" s="142"/>
      <c r="C54" s="142"/>
      <c r="D54" s="142" t="s">
        <v>232</v>
      </c>
      <c r="E54" s="142"/>
      <c r="F54" s="142"/>
      <c r="G54" s="142" t="s">
        <v>233</v>
      </c>
      <c r="H54" s="142"/>
      <c r="I54" s="142"/>
      <c r="J54" s="142" t="s">
        <v>234</v>
      </c>
      <c r="K54" s="142"/>
      <c r="L54" s="142"/>
    </row>
    <row r="55" spans="1:15" ht="20.100000000000001" customHeight="1" x14ac:dyDescent="0.25">
      <c r="A55" s="143">
        <v>2.5</v>
      </c>
      <c r="B55" s="143"/>
      <c r="C55" s="143"/>
      <c r="D55" s="143">
        <f>C55 * (COUNTIFS('Paid-Data'!A:A,$O$1,'Paid-Data'!P:P,Identification!C13-1)+1)</f>
        <v>0</v>
      </c>
      <c r="E55" s="143"/>
      <c r="F55" s="143"/>
      <c r="G55" s="144">
        <v>0</v>
      </c>
      <c r="H55" s="144"/>
      <c r="I55" s="144"/>
      <c r="J55" s="143">
        <f>D55-G55</f>
        <v>0</v>
      </c>
      <c r="K55" s="143"/>
      <c r="L55" s="143"/>
    </row>
    <row r="57" spans="1:15" ht="24" customHeight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</row>
    <row r="58" spans="1:15" ht="24" customHeight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</row>
    <row r="59" spans="1:15" ht="21.95" customHeight="1" x14ac:dyDescent="0.25">
      <c r="A59" s="108"/>
      <c r="B59" s="108"/>
      <c r="C59" s="108"/>
      <c r="D59" s="108"/>
      <c r="E59" s="108"/>
    </row>
    <row r="60" spans="1:15" ht="21.95" customHeight="1" x14ac:dyDescent="0.25">
      <c r="A60" s="108"/>
      <c r="B60" s="108"/>
      <c r="C60" s="108"/>
      <c r="D60" s="108"/>
      <c r="E60" s="108"/>
    </row>
  </sheetData>
  <mergeCells count="106">
    <mergeCell ref="A57:C58"/>
    <mergeCell ref="D57:F58"/>
    <mergeCell ref="G57:I58"/>
    <mergeCell ref="J57:L58"/>
    <mergeCell ref="M57:O58"/>
    <mergeCell ref="A59:E60"/>
    <mergeCell ref="A54:C54"/>
    <mergeCell ref="D54:F54"/>
    <mergeCell ref="G54:I54"/>
    <mergeCell ref="J54:L54"/>
    <mergeCell ref="A55:C55"/>
    <mergeCell ref="D55:F55"/>
    <mergeCell ref="G55:I55"/>
    <mergeCell ref="J55:L55"/>
    <mergeCell ref="A51:C51"/>
    <mergeCell ref="D51:F51"/>
    <mergeCell ref="G51:I51"/>
    <mergeCell ref="J51:L51"/>
    <mergeCell ref="M51:O51"/>
    <mergeCell ref="A53:O53"/>
    <mergeCell ref="A47:E47"/>
    <mergeCell ref="A49:O49"/>
    <mergeCell ref="A50:C50"/>
    <mergeCell ref="D50:F50"/>
    <mergeCell ref="G50:I50"/>
    <mergeCell ref="J50:L50"/>
    <mergeCell ref="M50:O50"/>
    <mergeCell ref="A41:B41"/>
    <mergeCell ref="C41:D41"/>
    <mergeCell ref="A42:G42"/>
    <mergeCell ref="A43:G43"/>
    <mergeCell ref="A45:O45"/>
    <mergeCell ref="A46:O46"/>
    <mergeCell ref="A38:B38"/>
    <mergeCell ref="C38:D38"/>
    <mergeCell ref="A39:B39"/>
    <mergeCell ref="C39:D39"/>
    <mergeCell ref="A40:B40"/>
    <mergeCell ref="C40:D40"/>
    <mergeCell ref="A35:B35"/>
    <mergeCell ref="C35:D35"/>
    <mergeCell ref="A36:B36"/>
    <mergeCell ref="C36:D36"/>
    <mergeCell ref="A37:B37"/>
    <mergeCell ref="C37:D37"/>
    <mergeCell ref="A32:B32"/>
    <mergeCell ref="C32:D32"/>
    <mergeCell ref="A33:B33"/>
    <mergeCell ref="C33:D33"/>
    <mergeCell ref="A34:B34"/>
    <mergeCell ref="C34:D34"/>
    <mergeCell ref="A29:B29"/>
    <mergeCell ref="C29:D29"/>
    <mergeCell ref="A30:B30"/>
    <mergeCell ref="C30:D30"/>
    <mergeCell ref="A31:B31"/>
    <mergeCell ref="C31:D31"/>
    <mergeCell ref="A26:B26"/>
    <mergeCell ref="C26:D26"/>
    <mergeCell ref="A27:B27"/>
    <mergeCell ref="C27:D27"/>
    <mergeCell ref="A28:B28"/>
    <mergeCell ref="C28:D28"/>
    <mergeCell ref="A23:B23"/>
    <mergeCell ref="C23:D23"/>
    <mergeCell ref="A24:B24"/>
    <mergeCell ref="C24:D24"/>
    <mergeCell ref="A25:B25"/>
    <mergeCell ref="C25:D25"/>
    <mergeCell ref="A20:B20"/>
    <mergeCell ref="C20:D20"/>
    <mergeCell ref="A21:B21"/>
    <mergeCell ref="C21:D21"/>
    <mergeCell ref="A22:B22"/>
    <mergeCell ref="C22:D22"/>
    <mergeCell ref="A17:B17"/>
    <mergeCell ref="C17:D17"/>
    <mergeCell ref="A18:B18"/>
    <mergeCell ref="C18:D18"/>
    <mergeCell ref="A19:B19"/>
    <mergeCell ref="C19:D19"/>
    <mergeCell ref="A13:B13"/>
    <mergeCell ref="E13:F13"/>
    <mergeCell ref="I13:J13"/>
    <mergeCell ref="M13:N13"/>
    <mergeCell ref="A12:D12"/>
    <mergeCell ref="C15:F15"/>
    <mergeCell ref="H15:K15"/>
    <mergeCell ref="A11:B11"/>
    <mergeCell ref="E11:F11"/>
    <mergeCell ref="I11:J11"/>
    <mergeCell ref="M11:N11"/>
    <mergeCell ref="E12:F12"/>
    <mergeCell ref="I12:J12"/>
    <mergeCell ref="M12:N12"/>
    <mergeCell ref="A9:D9"/>
    <mergeCell ref="E9:H9"/>
    <mergeCell ref="I9:K9"/>
    <mergeCell ref="L9:O9"/>
    <mergeCell ref="A10:B10"/>
    <mergeCell ref="E10:F10"/>
    <mergeCell ref="I10:J10"/>
    <mergeCell ref="M10:N10"/>
    <mergeCell ref="A2:D5"/>
    <mergeCell ref="E2:O5"/>
    <mergeCell ref="A8:O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CAFC-2238-4E7C-B7E1-D2A3B238B4BD}">
  <sheetPr codeName="Feuil7">
    <tabColor rgb="FF92D050"/>
  </sheetPr>
  <dimension ref="A1:L55"/>
  <sheetViews>
    <sheetView tabSelected="1" workbookViewId="0">
      <pane ySplit="5" topLeftCell="A6" activePane="bottomLeft" state="frozen"/>
      <selection pane="bottomLeft" activeCell="B9" sqref="B9"/>
    </sheetView>
  </sheetViews>
  <sheetFormatPr baseColWidth="10" defaultRowHeight="15" x14ac:dyDescent="0.25"/>
  <cols>
    <col min="1" max="1" width="8.7109375" customWidth="1"/>
    <col min="2" max="2" width="15.7109375" customWidth="1"/>
    <col min="3" max="3" width="30.7109375" customWidth="1"/>
    <col min="4" max="4" width="20.7109375" customWidth="1"/>
    <col min="5" max="6" width="12.7109375" customWidth="1"/>
    <col min="7" max="9" width="16.7109375" customWidth="1"/>
    <col min="10" max="10" width="8.7109375" customWidth="1"/>
    <col min="11" max="11" width="14.7109375" customWidth="1"/>
    <col min="12" max="12" width="20.7109375" customWidth="1"/>
  </cols>
  <sheetData>
    <row r="1" spans="1:12" ht="24.95" customHeight="1" x14ac:dyDescent="0.25">
      <c r="A1" s="73" t="s">
        <v>235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x14ac:dyDescent="0.25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2" x14ac:dyDescent="0.25">
      <c r="A3" s="109" t="str">
        <f>"Période : "&amp;Identification!C12&amp;" "&amp;Identification!C13</f>
        <v>Période : Avril 2026</v>
      </c>
      <c r="B3" s="109"/>
      <c r="C3" s="109"/>
      <c r="D3" s="109"/>
      <c r="E3" s="109"/>
      <c r="F3" s="109"/>
    </row>
    <row r="5" spans="1:12" ht="24.95" customHeight="1" x14ac:dyDescent="0.25">
      <c r="A5" s="66" t="s">
        <v>214</v>
      </c>
      <c r="B5" s="66" t="s">
        <v>126</v>
      </c>
      <c r="C5" s="66" t="s">
        <v>184</v>
      </c>
      <c r="D5" s="66" t="s">
        <v>130</v>
      </c>
      <c r="E5" s="66" t="s">
        <v>185</v>
      </c>
      <c r="F5" s="66" t="s">
        <v>236</v>
      </c>
      <c r="G5" s="66" t="s">
        <v>225</v>
      </c>
      <c r="H5" s="66" t="s">
        <v>237</v>
      </c>
      <c r="I5" s="66" t="s">
        <v>238</v>
      </c>
      <c r="J5" s="66" t="s">
        <v>135</v>
      </c>
      <c r="K5" s="66" t="s">
        <v>239</v>
      </c>
      <c r="L5" s="66" t="s">
        <v>240</v>
      </c>
    </row>
    <row r="6" spans="1:12" ht="18" customHeight="1" x14ac:dyDescent="0.25">
      <c r="A6" s="67">
        <v>1</v>
      </c>
      <c r="B6" s="67" t="str">
        <f>IFERROR(INDEX('Paid-Data'!$A:$A,MATCH(ROW()-5,'Paid-Data'!$Q:$Q,0)),"")</f>
        <v/>
      </c>
      <c r="C6" s="67" t="str">
        <f>IFERROR(VLOOKUP(B6,Personnel!$A:$R,4,0),"")</f>
        <v/>
      </c>
      <c r="D6" s="67" t="str">
        <f>IFERROR(VLOOKUP(B6,Personnel!$A:$R,5,0),"")</f>
        <v/>
      </c>
      <c r="E6" s="67" t="str">
        <f>IFERROR(VLOOKUP(B6,Personnel!$A:$R,6,0),"")</f>
        <v/>
      </c>
      <c r="F6" s="67" t="str">
        <f>IFERROR(VLOOKUP(B6,Personnel!$A:$R,8,0),"")</f>
        <v/>
      </c>
      <c r="G6" s="68" t="str">
        <f>IFERROR(INDEX('Paid-Data'!G:G,MATCH(B6&amp;Identification!C12,_xlfn.CHOOSECOLS('Paid-Data'!A:A,1)&amp;'Paid-Data'!N:N,0)),"")</f>
        <v/>
      </c>
      <c r="H6" s="68"/>
      <c r="I6" s="68" t="str">
        <f t="shared" ref="I6:I53" si="0">IFERROR(G6-H6,"")</f>
        <v/>
      </c>
      <c r="J6" s="67" t="str">
        <f>IFERROR(VLOOKUP(B6,Personnel!$A:$R,11,0),"")</f>
        <v/>
      </c>
      <c r="K6" s="67"/>
      <c r="L6" s="67"/>
    </row>
    <row r="7" spans="1:12" ht="18" customHeight="1" x14ac:dyDescent="0.25">
      <c r="A7" s="69">
        <v>2</v>
      </c>
      <c r="B7" s="69" t="str">
        <f>IFERROR(INDEX('Paid-Data'!$A:$A,MATCH(ROW()-5,'Paid-Data'!$Q:$Q,0)),"")</f>
        <v/>
      </c>
      <c r="C7" s="69" t="str">
        <f>IFERROR(VLOOKUP(B7,Personnel!$A:$R,4,0),"")</f>
        <v/>
      </c>
      <c r="D7" s="69" t="str">
        <f>IFERROR(VLOOKUP(B7,Personnel!$A:$R,5,0),"")</f>
        <v/>
      </c>
      <c r="E7" s="69" t="str">
        <f>IFERROR(VLOOKUP(B7,Personnel!$A:$R,6,0),"")</f>
        <v/>
      </c>
      <c r="F7" s="69" t="str">
        <f>IFERROR(VLOOKUP(B7,Personnel!$A:$R,8,0),"")</f>
        <v/>
      </c>
      <c r="G7" s="70" t="str">
        <f>IFERROR(INDEX('Paid-Data'!G:G,MATCH(B7&amp;Identification!C12,_xlfn.CHOOSECOLS('Paid-Data'!A:A,1)&amp;'Paid-Data'!N:N,0)),"")</f>
        <v/>
      </c>
      <c r="H7" s="70"/>
      <c r="I7" s="70" t="str">
        <f t="shared" si="0"/>
        <v/>
      </c>
      <c r="J7" s="69" t="str">
        <f>IFERROR(VLOOKUP(B7,Personnel!$A:$R,11,0),"")</f>
        <v/>
      </c>
      <c r="K7" s="69"/>
      <c r="L7" s="69"/>
    </row>
    <row r="8" spans="1:12" ht="18" customHeight="1" x14ac:dyDescent="0.25">
      <c r="A8" s="67">
        <v>3</v>
      </c>
      <c r="B8" s="67" t="str">
        <f>IFERROR(INDEX('Paid-Data'!$A:$A,MATCH(ROW()-5,'Paid-Data'!$Q:$Q,0)),"")</f>
        <v/>
      </c>
      <c r="C8" s="67" t="str">
        <f>IFERROR(VLOOKUP(B8,Personnel!$A:$R,4,0),"")</f>
        <v/>
      </c>
      <c r="D8" s="67" t="str">
        <f>IFERROR(VLOOKUP(B8,Personnel!$A:$R,5,0),"")</f>
        <v/>
      </c>
      <c r="E8" s="67" t="str">
        <f>IFERROR(VLOOKUP(B8,Personnel!$A:$R,6,0),"")</f>
        <v/>
      </c>
      <c r="F8" s="67" t="str">
        <f>IFERROR(VLOOKUP(B8,Personnel!$A:$R,8,0),"")</f>
        <v/>
      </c>
      <c r="G8" s="68" t="str">
        <f>IFERROR(INDEX('Paid-Data'!G:G,MATCH(B8&amp;Identification!C12,_xlfn.CHOOSECOLS('Paid-Data'!A:A,1)&amp;'Paid-Data'!N:N,0)),"")</f>
        <v/>
      </c>
      <c r="H8" s="68"/>
      <c r="I8" s="68" t="str">
        <f t="shared" si="0"/>
        <v/>
      </c>
      <c r="J8" s="67" t="str">
        <f>IFERROR(VLOOKUP(B8,Personnel!$A:$R,11,0),"")</f>
        <v/>
      </c>
      <c r="K8" s="67"/>
      <c r="L8" s="67"/>
    </row>
    <row r="9" spans="1:12" ht="18" customHeight="1" x14ac:dyDescent="0.25">
      <c r="A9" s="69">
        <v>4</v>
      </c>
      <c r="B9" s="69" t="str">
        <f>IFERROR(INDEX('Paid-Data'!$A:$A,MATCH(ROW()-5,'Paid-Data'!$Q:$Q,0)),"")</f>
        <v/>
      </c>
      <c r="C9" s="69" t="str">
        <f>IFERROR(VLOOKUP(B9,Personnel!$A:$R,4,0),"")</f>
        <v/>
      </c>
      <c r="D9" s="69" t="str">
        <f>IFERROR(VLOOKUP(B9,Personnel!$A:$R,5,0),"")</f>
        <v/>
      </c>
      <c r="E9" s="69" t="str">
        <f>IFERROR(VLOOKUP(B9,Personnel!$A:$R,6,0),"")</f>
        <v/>
      </c>
      <c r="F9" s="69" t="str">
        <f>IFERROR(VLOOKUP(B9,Personnel!$A:$R,8,0),"")</f>
        <v/>
      </c>
      <c r="G9" s="70" t="str">
        <f>IFERROR(INDEX('Paid-Data'!G:G,MATCH(B9&amp;Identification!C12,_xlfn.CHOOSECOLS('Paid-Data'!A:A,1)&amp;'Paid-Data'!N:N,0)),"")</f>
        <v/>
      </c>
      <c r="H9" s="70"/>
      <c r="I9" s="70" t="str">
        <f t="shared" si="0"/>
        <v/>
      </c>
      <c r="J9" s="69" t="str">
        <f>IFERROR(VLOOKUP(B9,Personnel!$A:$R,11,0),"")</f>
        <v/>
      </c>
      <c r="K9" s="69"/>
      <c r="L9" s="69"/>
    </row>
    <row r="10" spans="1:12" ht="18" customHeight="1" x14ac:dyDescent="0.25">
      <c r="A10" s="67">
        <v>5</v>
      </c>
      <c r="B10" s="67" t="str">
        <f>IFERROR(INDEX('Paid-Data'!$A:$A,MATCH(ROW()-5,'Paid-Data'!$Q:$Q,0)),"")</f>
        <v/>
      </c>
      <c r="C10" s="67" t="str">
        <f>IFERROR(VLOOKUP(B10,Personnel!$A:$R,4,0),"")</f>
        <v/>
      </c>
      <c r="D10" s="67" t="str">
        <f>IFERROR(VLOOKUP(B10,Personnel!$A:$R,5,0),"")</f>
        <v/>
      </c>
      <c r="E10" s="67" t="str">
        <f>IFERROR(VLOOKUP(B10,Personnel!$A:$R,6,0),"")</f>
        <v/>
      </c>
      <c r="F10" s="67" t="str">
        <f>IFERROR(VLOOKUP(B10,Personnel!$A:$R,8,0),"")</f>
        <v/>
      </c>
      <c r="G10" s="68" t="str">
        <f>IFERROR(INDEX('Paid-Data'!G:G,MATCH(B10&amp;Identification!C12,_xlfn.CHOOSECOLS('Paid-Data'!A:A,1)&amp;'Paid-Data'!N:N,0)),"")</f>
        <v/>
      </c>
      <c r="H10" s="68"/>
      <c r="I10" s="68" t="str">
        <f t="shared" si="0"/>
        <v/>
      </c>
      <c r="J10" s="67" t="str">
        <f>IFERROR(VLOOKUP(B10,Personnel!$A:$R,11,0),"")</f>
        <v/>
      </c>
      <c r="K10" s="67"/>
      <c r="L10" s="67"/>
    </row>
    <row r="11" spans="1:12" ht="18" customHeight="1" x14ac:dyDescent="0.25">
      <c r="A11" s="69">
        <v>6</v>
      </c>
      <c r="B11" s="69" t="str">
        <f>IFERROR(INDEX('Paid-Data'!$A:$A,MATCH(ROW()-5,'Paid-Data'!$Q:$Q,0)),"")</f>
        <v/>
      </c>
      <c r="C11" s="69" t="str">
        <f>IFERROR(VLOOKUP(B11,Personnel!$A:$R,4,0),"")</f>
        <v/>
      </c>
      <c r="D11" s="69" t="str">
        <f>IFERROR(VLOOKUP(B11,Personnel!$A:$R,5,0),"")</f>
        <v/>
      </c>
      <c r="E11" s="69" t="str">
        <f>IFERROR(VLOOKUP(B11,Personnel!$A:$R,6,0),"")</f>
        <v/>
      </c>
      <c r="F11" s="69" t="str">
        <f>IFERROR(VLOOKUP(B11,Personnel!$A:$R,8,0),"")</f>
        <v/>
      </c>
      <c r="G11" s="70" t="str">
        <f>IFERROR(INDEX('Paid-Data'!G:G,MATCH(B11&amp;Identification!C12,_xlfn.CHOOSECOLS('Paid-Data'!A:A,1)&amp;'Paid-Data'!N:N,0)),"")</f>
        <v/>
      </c>
      <c r="H11" s="70"/>
      <c r="I11" s="70" t="str">
        <f t="shared" si="0"/>
        <v/>
      </c>
      <c r="J11" s="69" t="str">
        <f>IFERROR(VLOOKUP(B11,Personnel!$A:$R,11,0),"")</f>
        <v/>
      </c>
      <c r="K11" s="69"/>
      <c r="L11" s="69"/>
    </row>
    <row r="12" spans="1:12" ht="18" customHeight="1" x14ac:dyDescent="0.25">
      <c r="A12" s="67">
        <v>7</v>
      </c>
      <c r="B12" s="67" t="str">
        <f>IFERROR(INDEX('Paid-Data'!$A:$A,MATCH(ROW()-5,'Paid-Data'!$Q:$Q,0)),"")</f>
        <v/>
      </c>
      <c r="C12" s="67" t="str">
        <f>IFERROR(VLOOKUP(B12,Personnel!$A:$R,4,0),"")</f>
        <v/>
      </c>
      <c r="D12" s="67" t="str">
        <f>IFERROR(VLOOKUP(B12,Personnel!$A:$R,5,0),"")</f>
        <v/>
      </c>
      <c r="E12" s="67" t="str">
        <f>IFERROR(VLOOKUP(B12,Personnel!$A:$R,6,0),"")</f>
        <v/>
      </c>
      <c r="F12" s="67" t="str">
        <f>IFERROR(VLOOKUP(B12,Personnel!$A:$R,8,0),"")</f>
        <v/>
      </c>
      <c r="G12" s="68" t="str">
        <f>IFERROR(INDEX('Paid-Data'!G:G,MATCH(B12&amp;Identification!C12,_xlfn.CHOOSECOLS('Paid-Data'!A:A,1)&amp;'Paid-Data'!N:N,0)),"")</f>
        <v/>
      </c>
      <c r="H12" s="68"/>
      <c r="I12" s="68" t="str">
        <f t="shared" si="0"/>
        <v/>
      </c>
      <c r="J12" s="67" t="str">
        <f>IFERROR(VLOOKUP(B12,Personnel!$A:$R,11,0),"")</f>
        <v/>
      </c>
      <c r="K12" s="67"/>
      <c r="L12" s="67"/>
    </row>
    <row r="13" spans="1:12" ht="18" customHeight="1" x14ac:dyDescent="0.25">
      <c r="A13" s="69">
        <v>8</v>
      </c>
      <c r="B13" s="69" t="str">
        <f>IFERROR(INDEX('Paid-Data'!$A:$A,MATCH(ROW()-5,'Paid-Data'!$Q:$Q,0)),"")</f>
        <v/>
      </c>
      <c r="C13" s="69" t="str">
        <f>IFERROR(VLOOKUP(B13,Personnel!$A:$R,4,0),"")</f>
        <v/>
      </c>
      <c r="D13" s="69" t="str">
        <f>IFERROR(VLOOKUP(B13,Personnel!$A:$R,5,0),"")</f>
        <v/>
      </c>
      <c r="E13" s="69" t="str">
        <f>IFERROR(VLOOKUP(B13,Personnel!$A:$R,6,0),"")</f>
        <v/>
      </c>
      <c r="F13" s="69" t="str">
        <f>IFERROR(VLOOKUP(B13,Personnel!$A:$R,8,0),"")</f>
        <v/>
      </c>
      <c r="G13" s="70" t="str">
        <f>IFERROR(INDEX('Paid-Data'!G:G,MATCH(B13&amp;Identification!C12,_xlfn.CHOOSECOLS('Paid-Data'!A:A,1)&amp;'Paid-Data'!N:N,0)),"")</f>
        <v/>
      </c>
      <c r="H13" s="70"/>
      <c r="I13" s="70" t="str">
        <f t="shared" si="0"/>
        <v/>
      </c>
      <c r="J13" s="69" t="str">
        <f>IFERROR(VLOOKUP(B13,Personnel!$A:$R,11,0),"")</f>
        <v/>
      </c>
      <c r="K13" s="69"/>
      <c r="L13" s="69"/>
    </row>
    <row r="14" spans="1:12" ht="18" customHeight="1" x14ac:dyDescent="0.25">
      <c r="A14" s="67">
        <v>9</v>
      </c>
      <c r="B14" s="67" t="str">
        <f>IFERROR(INDEX('Paid-Data'!$A:$A,MATCH(ROW()-5,'Paid-Data'!$Q:$Q,0)),"")</f>
        <v/>
      </c>
      <c r="C14" s="67" t="str">
        <f>IFERROR(VLOOKUP(B14,Personnel!$A:$R,4,0),"")</f>
        <v/>
      </c>
      <c r="D14" s="67" t="str">
        <f>IFERROR(VLOOKUP(B14,Personnel!$A:$R,5,0),"")</f>
        <v/>
      </c>
      <c r="E14" s="67" t="str">
        <f>IFERROR(VLOOKUP(B14,Personnel!$A:$R,6,0),"")</f>
        <v/>
      </c>
      <c r="F14" s="67" t="str">
        <f>IFERROR(VLOOKUP(B14,Personnel!$A:$R,8,0),"")</f>
        <v/>
      </c>
      <c r="G14" s="68" t="str">
        <f>IFERROR(INDEX('Paid-Data'!G:G,MATCH(B14&amp;Identification!C12,_xlfn.CHOOSECOLS('Paid-Data'!A:A,1)&amp;'Paid-Data'!N:N,0)),"")</f>
        <v/>
      </c>
      <c r="H14" s="68"/>
      <c r="I14" s="68" t="str">
        <f t="shared" si="0"/>
        <v/>
      </c>
      <c r="J14" s="67" t="str">
        <f>IFERROR(VLOOKUP(B14,Personnel!$A:$R,11,0),"")</f>
        <v/>
      </c>
      <c r="K14" s="67"/>
      <c r="L14" s="67"/>
    </row>
    <row r="15" spans="1:12" ht="18" customHeight="1" x14ac:dyDescent="0.25">
      <c r="A15" s="69">
        <v>10</v>
      </c>
      <c r="B15" s="69" t="str">
        <f>IFERROR(INDEX('Paid-Data'!$A:$A,MATCH(ROW()-5,'Paid-Data'!$Q:$Q,0)),"")</f>
        <v/>
      </c>
      <c r="C15" s="69" t="str">
        <f>IFERROR(VLOOKUP(B15,Personnel!$A:$R,4,0),"")</f>
        <v/>
      </c>
      <c r="D15" s="69" t="str">
        <f>IFERROR(VLOOKUP(B15,Personnel!$A:$R,5,0),"")</f>
        <v/>
      </c>
      <c r="E15" s="69" t="str">
        <f>IFERROR(VLOOKUP(B15,Personnel!$A:$R,6,0),"")</f>
        <v/>
      </c>
      <c r="F15" s="69" t="str">
        <f>IFERROR(VLOOKUP(B15,Personnel!$A:$R,8,0),"")</f>
        <v/>
      </c>
      <c r="G15" s="70" t="str">
        <f>IFERROR(INDEX('Paid-Data'!G:G,MATCH(B15&amp;Identification!C12,_xlfn.CHOOSECOLS('Paid-Data'!A:A,1)&amp;'Paid-Data'!N:N,0)),"")</f>
        <v/>
      </c>
      <c r="H15" s="70"/>
      <c r="I15" s="70" t="str">
        <f t="shared" si="0"/>
        <v/>
      </c>
      <c r="J15" s="69" t="str">
        <f>IFERROR(VLOOKUP(B15,Personnel!$A:$R,11,0),"")</f>
        <v/>
      </c>
      <c r="K15" s="69"/>
      <c r="L15" s="69"/>
    </row>
    <row r="16" spans="1:12" ht="18" customHeight="1" x14ac:dyDescent="0.25">
      <c r="A16" s="67">
        <v>11</v>
      </c>
      <c r="B16" s="67" t="str">
        <f>IFERROR(INDEX('Paid-Data'!$A:$A,MATCH(ROW()-5,'Paid-Data'!$Q:$Q,0)),"")</f>
        <v/>
      </c>
      <c r="C16" s="67" t="str">
        <f>IFERROR(VLOOKUP(B16,Personnel!$A:$R,4,0),"")</f>
        <v/>
      </c>
      <c r="D16" s="67" t="str">
        <f>IFERROR(VLOOKUP(B16,Personnel!$A:$R,5,0),"")</f>
        <v/>
      </c>
      <c r="E16" s="67" t="str">
        <f>IFERROR(VLOOKUP(B16,Personnel!$A:$R,6,0),"")</f>
        <v/>
      </c>
      <c r="F16" s="67" t="str">
        <f>IFERROR(VLOOKUP(B16,Personnel!$A:$R,8,0),"")</f>
        <v/>
      </c>
      <c r="G16" s="68" t="str">
        <f>IFERROR(INDEX('Paid-Data'!G:G,MATCH(B16&amp;Identification!C12,_xlfn.CHOOSECOLS('Paid-Data'!A:A,1)&amp;'Paid-Data'!N:N,0)),"")</f>
        <v/>
      </c>
      <c r="H16" s="68"/>
      <c r="I16" s="68" t="str">
        <f t="shared" si="0"/>
        <v/>
      </c>
      <c r="J16" s="67" t="str">
        <f>IFERROR(VLOOKUP(B16,Personnel!$A:$R,11,0),"")</f>
        <v/>
      </c>
      <c r="K16" s="67"/>
      <c r="L16" s="67"/>
    </row>
    <row r="17" spans="1:12" ht="18" customHeight="1" x14ac:dyDescent="0.25">
      <c r="A17" s="69">
        <v>12</v>
      </c>
      <c r="B17" s="69" t="str">
        <f>IFERROR(INDEX('Paid-Data'!$A:$A,MATCH(ROW()-5,'Paid-Data'!$Q:$Q,0)),"")</f>
        <v/>
      </c>
      <c r="C17" s="69" t="str">
        <f>IFERROR(VLOOKUP(B17,Personnel!$A:$R,4,0),"")</f>
        <v/>
      </c>
      <c r="D17" s="69" t="str">
        <f>IFERROR(VLOOKUP(B17,Personnel!$A:$R,5,0),"")</f>
        <v/>
      </c>
      <c r="E17" s="69" t="str">
        <f>IFERROR(VLOOKUP(B17,Personnel!$A:$R,6,0),"")</f>
        <v/>
      </c>
      <c r="F17" s="69" t="str">
        <f>IFERROR(VLOOKUP(B17,Personnel!$A:$R,8,0),"")</f>
        <v/>
      </c>
      <c r="G17" s="70" t="str">
        <f>IFERROR(INDEX('Paid-Data'!G:G,MATCH(B17&amp;Identification!C12,_xlfn.CHOOSECOLS('Paid-Data'!A:A,1)&amp;'Paid-Data'!N:N,0)),"")</f>
        <v/>
      </c>
      <c r="H17" s="70"/>
      <c r="I17" s="70" t="str">
        <f t="shared" si="0"/>
        <v/>
      </c>
      <c r="J17" s="69" t="str">
        <f>IFERROR(VLOOKUP(B17,Personnel!$A:$R,11,0),"")</f>
        <v/>
      </c>
      <c r="K17" s="69"/>
      <c r="L17" s="69"/>
    </row>
    <row r="18" spans="1:12" ht="18" customHeight="1" x14ac:dyDescent="0.25">
      <c r="A18" s="67">
        <v>13</v>
      </c>
      <c r="B18" s="67" t="str">
        <f>IFERROR(INDEX('Paid-Data'!$A:$A,MATCH(ROW()-5,'Paid-Data'!$Q:$Q,0)),"")</f>
        <v/>
      </c>
      <c r="C18" s="67" t="str">
        <f>IFERROR(VLOOKUP(B18,Personnel!$A:$R,4,0),"")</f>
        <v/>
      </c>
      <c r="D18" s="67" t="str">
        <f>IFERROR(VLOOKUP(B18,Personnel!$A:$R,5,0),"")</f>
        <v/>
      </c>
      <c r="E18" s="67" t="str">
        <f>IFERROR(VLOOKUP(B18,Personnel!$A:$R,6,0),"")</f>
        <v/>
      </c>
      <c r="F18" s="67" t="str">
        <f>IFERROR(VLOOKUP(B18,Personnel!$A:$R,8,0),"")</f>
        <v/>
      </c>
      <c r="G18" s="68" t="str">
        <f>IFERROR(INDEX('Paid-Data'!G:G,MATCH(B18&amp;Identification!C12,_xlfn.CHOOSECOLS('Paid-Data'!A:A,1)&amp;'Paid-Data'!N:N,0)),"")</f>
        <v/>
      </c>
      <c r="H18" s="68"/>
      <c r="I18" s="68" t="str">
        <f t="shared" si="0"/>
        <v/>
      </c>
      <c r="J18" s="67" t="str">
        <f>IFERROR(VLOOKUP(B18,Personnel!$A:$R,11,0),"")</f>
        <v/>
      </c>
      <c r="K18" s="67"/>
      <c r="L18" s="67"/>
    </row>
    <row r="19" spans="1:12" ht="18" customHeight="1" x14ac:dyDescent="0.25">
      <c r="A19" s="69">
        <v>14</v>
      </c>
      <c r="B19" s="69" t="str">
        <f>IFERROR(INDEX('Paid-Data'!$A:$A,MATCH(ROW()-5,'Paid-Data'!$Q:$Q,0)),"")</f>
        <v/>
      </c>
      <c r="C19" s="69" t="str">
        <f>IFERROR(VLOOKUP(B19,Personnel!$A:$R,4,0),"")</f>
        <v/>
      </c>
      <c r="D19" s="69" t="str">
        <f>IFERROR(VLOOKUP(B19,Personnel!$A:$R,5,0),"")</f>
        <v/>
      </c>
      <c r="E19" s="69" t="str">
        <f>IFERROR(VLOOKUP(B19,Personnel!$A:$R,6,0),"")</f>
        <v/>
      </c>
      <c r="F19" s="69" t="str">
        <f>IFERROR(VLOOKUP(B19,Personnel!$A:$R,8,0),"")</f>
        <v/>
      </c>
      <c r="G19" s="70" t="str">
        <f>IFERROR(INDEX('Paid-Data'!G:G,MATCH(B19&amp;Identification!C12,_xlfn.CHOOSECOLS('Paid-Data'!A:A,1)&amp;'Paid-Data'!N:N,0)),"")</f>
        <v/>
      </c>
      <c r="H19" s="70"/>
      <c r="I19" s="70" t="str">
        <f t="shared" si="0"/>
        <v/>
      </c>
      <c r="J19" s="69" t="str">
        <f>IFERROR(VLOOKUP(B19,Personnel!$A:$R,11,0),"")</f>
        <v/>
      </c>
      <c r="K19" s="69"/>
      <c r="L19" s="69"/>
    </row>
    <row r="20" spans="1:12" ht="18" customHeight="1" x14ac:dyDescent="0.25">
      <c r="A20" s="67">
        <v>15</v>
      </c>
      <c r="B20" s="67" t="str">
        <f>IFERROR(INDEX('Paid-Data'!$A:$A,MATCH(ROW()-5,'Paid-Data'!$Q:$Q,0)),"")</f>
        <v/>
      </c>
      <c r="C20" s="67" t="str">
        <f>IFERROR(VLOOKUP(B20,Personnel!$A:$R,4,0),"")</f>
        <v/>
      </c>
      <c r="D20" s="67" t="str">
        <f>IFERROR(VLOOKUP(B20,Personnel!$A:$R,5,0),"")</f>
        <v/>
      </c>
      <c r="E20" s="67" t="str">
        <f>IFERROR(VLOOKUP(B20,Personnel!$A:$R,6,0),"")</f>
        <v/>
      </c>
      <c r="F20" s="67" t="str">
        <f>IFERROR(VLOOKUP(B20,Personnel!$A:$R,8,0),"")</f>
        <v/>
      </c>
      <c r="G20" s="68" t="str">
        <f>IFERROR(INDEX('Paid-Data'!G:G,MATCH(B20&amp;Identification!C12,_xlfn.CHOOSECOLS('Paid-Data'!A:A,1)&amp;'Paid-Data'!N:N,0)),"")</f>
        <v/>
      </c>
      <c r="H20" s="68"/>
      <c r="I20" s="68" t="str">
        <f t="shared" si="0"/>
        <v/>
      </c>
      <c r="J20" s="67" t="str">
        <f>IFERROR(VLOOKUP(B20,Personnel!$A:$R,11,0),"")</f>
        <v/>
      </c>
      <c r="K20" s="67"/>
      <c r="L20" s="67"/>
    </row>
    <row r="21" spans="1:12" ht="18" customHeight="1" x14ac:dyDescent="0.25">
      <c r="A21" s="69">
        <v>16</v>
      </c>
      <c r="B21" s="69" t="str">
        <f>IFERROR(INDEX('Paid-Data'!$A:$A,MATCH(ROW()-5,'Paid-Data'!$Q:$Q,0)),"")</f>
        <v/>
      </c>
      <c r="C21" s="69" t="str">
        <f>IFERROR(VLOOKUP(B21,Personnel!$A:$R,4,0),"")</f>
        <v/>
      </c>
      <c r="D21" s="69" t="str">
        <f>IFERROR(VLOOKUP(B21,Personnel!$A:$R,5,0),"")</f>
        <v/>
      </c>
      <c r="E21" s="69" t="str">
        <f>IFERROR(VLOOKUP(B21,Personnel!$A:$R,6,0),"")</f>
        <v/>
      </c>
      <c r="F21" s="69" t="str">
        <f>IFERROR(VLOOKUP(B21,Personnel!$A:$R,8,0),"")</f>
        <v/>
      </c>
      <c r="G21" s="70" t="str">
        <f>IFERROR(INDEX('Paid-Data'!G:G,MATCH(B21&amp;Identification!C12,_xlfn.CHOOSECOLS('Paid-Data'!A:A,1)&amp;'Paid-Data'!N:N,0)),"")</f>
        <v/>
      </c>
      <c r="H21" s="70"/>
      <c r="I21" s="70" t="str">
        <f t="shared" si="0"/>
        <v/>
      </c>
      <c r="J21" s="69" t="str">
        <f>IFERROR(VLOOKUP(B21,Personnel!$A:$R,11,0),"")</f>
        <v/>
      </c>
      <c r="K21" s="69"/>
      <c r="L21" s="69"/>
    </row>
    <row r="22" spans="1:12" ht="18" customHeight="1" x14ac:dyDescent="0.25">
      <c r="A22" s="67">
        <v>17</v>
      </c>
      <c r="B22" s="67" t="str">
        <f>IFERROR(INDEX('Paid-Data'!$A:$A,MATCH(ROW()-5,'Paid-Data'!$Q:$Q,0)),"")</f>
        <v/>
      </c>
      <c r="C22" s="67" t="str">
        <f>IFERROR(VLOOKUP(B22,Personnel!$A:$R,4,0),"")</f>
        <v/>
      </c>
      <c r="D22" s="67" t="str">
        <f>IFERROR(VLOOKUP(B22,Personnel!$A:$R,5,0),"")</f>
        <v/>
      </c>
      <c r="E22" s="67" t="str">
        <f>IFERROR(VLOOKUP(B22,Personnel!$A:$R,6,0),"")</f>
        <v/>
      </c>
      <c r="F22" s="67" t="str">
        <f>IFERROR(VLOOKUP(B22,Personnel!$A:$R,8,0),"")</f>
        <v/>
      </c>
      <c r="G22" s="68" t="str">
        <f>IFERROR(INDEX('Paid-Data'!G:G,MATCH(B22&amp;Identification!C12,_xlfn.CHOOSECOLS('Paid-Data'!A:A,1)&amp;'Paid-Data'!N:N,0)),"")</f>
        <v/>
      </c>
      <c r="H22" s="68"/>
      <c r="I22" s="68" t="str">
        <f t="shared" si="0"/>
        <v/>
      </c>
      <c r="J22" s="67" t="str">
        <f>IFERROR(VLOOKUP(B22,Personnel!$A:$R,11,0),"")</f>
        <v/>
      </c>
      <c r="K22" s="67"/>
      <c r="L22" s="67"/>
    </row>
    <row r="23" spans="1:12" ht="18" customHeight="1" x14ac:dyDescent="0.25">
      <c r="A23" s="69">
        <v>18</v>
      </c>
      <c r="B23" s="69" t="str">
        <f>IFERROR(INDEX('Paid-Data'!$A:$A,MATCH(ROW()-5,'Paid-Data'!$Q:$Q,0)),"")</f>
        <v/>
      </c>
      <c r="C23" s="69" t="str">
        <f>IFERROR(VLOOKUP(B23,Personnel!$A:$R,4,0),"")</f>
        <v/>
      </c>
      <c r="D23" s="69" t="str">
        <f>IFERROR(VLOOKUP(B23,Personnel!$A:$R,5,0),"")</f>
        <v/>
      </c>
      <c r="E23" s="69" t="str">
        <f>IFERROR(VLOOKUP(B23,Personnel!$A:$R,6,0),"")</f>
        <v/>
      </c>
      <c r="F23" s="69" t="str">
        <f>IFERROR(VLOOKUP(B23,Personnel!$A:$R,8,0),"")</f>
        <v/>
      </c>
      <c r="G23" s="70" t="str">
        <f>IFERROR(INDEX('Paid-Data'!G:G,MATCH(B23&amp;Identification!C12,_xlfn.CHOOSECOLS('Paid-Data'!A:A,1)&amp;'Paid-Data'!N:N,0)),"")</f>
        <v/>
      </c>
      <c r="H23" s="70"/>
      <c r="I23" s="70" t="str">
        <f t="shared" si="0"/>
        <v/>
      </c>
      <c r="J23" s="69" t="str">
        <f>IFERROR(VLOOKUP(B23,Personnel!$A:$R,11,0),"")</f>
        <v/>
      </c>
      <c r="K23" s="69"/>
      <c r="L23" s="69"/>
    </row>
    <row r="24" spans="1:12" ht="18" customHeight="1" x14ac:dyDescent="0.25">
      <c r="A24" s="67">
        <v>19</v>
      </c>
      <c r="B24" s="67" t="str">
        <f>IFERROR(INDEX('Paid-Data'!$A:$A,MATCH(ROW()-5,'Paid-Data'!$Q:$Q,0)),"")</f>
        <v/>
      </c>
      <c r="C24" s="67" t="str">
        <f>IFERROR(VLOOKUP(B24,Personnel!$A:$R,4,0),"")</f>
        <v/>
      </c>
      <c r="D24" s="67" t="str">
        <f>IFERROR(VLOOKUP(B24,Personnel!$A:$R,5,0),"")</f>
        <v/>
      </c>
      <c r="E24" s="67" t="str">
        <f>IFERROR(VLOOKUP(B24,Personnel!$A:$R,6,0),"")</f>
        <v/>
      </c>
      <c r="F24" s="67" t="str">
        <f>IFERROR(VLOOKUP(B24,Personnel!$A:$R,8,0),"")</f>
        <v/>
      </c>
      <c r="G24" s="68" t="str">
        <f>IFERROR(INDEX('Paid-Data'!G:G,MATCH(B24&amp;Identification!C12,_xlfn.CHOOSECOLS('Paid-Data'!A:A,1)&amp;'Paid-Data'!N:N,0)),"")</f>
        <v/>
      </c>
      <c r="H24" s="68"/>
      <c r="I24" s="68" t="str">
        <f t="shared" si="0"/>
        <v/>
      </c>
      <c r="J24" s="67" t="str">
        <f>IFERROR(VLOOKUP(B24,Personnel!$A:$R,11,0),"")</f>
        <v/>
      </c>
      <c r="K24" s="67"/>
      <c r="L24" s="67"/>
    </row>
    <row r="25" spans="1:12" ht="18" customHeight="1" x14ac:dyDescent="0.25">
      <c r="A25" s="69">
        <v>20</v>
      </c>
      <c r="B25" s="69" t="str">
        <f>IFERROR(INDEX('Paid-Data'!$A:$A,MATCH(ROW()-5,'Paid-Data'!$Q:$Q,0)),"")</f>
        <v/>
      </c>
      <c r="C25" s="69" t="str">
        <f>IFERROR(VLOOKUP(B25,Personnel!$A:$R,4,0),"")</f>
        <v/>
      </c>
      <c r="D25" s="69" t="str">
        <f>IFERROR(VLOOKUP(B25,Personnel!$A:$R,5,0),"")</f>
        <v/>
      </c>
      <c r="E25" s="69" t="str">
        <f>IFERROR(VLOOKUP(B25,Personnel!$A:$R,6,0),"")</f>
        <v/>
      </c>
      <c r="F25" s="69" t="str">
        <f>IFERROR(VLOOKUP(B25,Personnel!$A:$R,8,0),"")</f>
        <v/>
      </c>
      <c r="G25" s="70" t="str">
        <f>IFERROR(INDEX('Paid-Data'!G:G,MATCH(B25&amp;Identification!C12,_xlfn.CHOOSECOLS('Paid-Data'!A:A,1)&amp;'Paid-Data'!N:N,0)),"")</f>
        <v/>
      </c>
      <c r="H25" s="70"/>
      <c r="I25" s="70" t="str">
        <f t="shared" si="0"/>
        <v/>
      </c>
      <c r="J25" s="69" t="str">
        <f>IFERROR(VLOOKUP(B25,Personnel!$A:$R,11,0),"")</f>
        <v/>
      </c>
      <c r="K25" s="69"/>
      <c r="L25" s="69"/>
    </row>
    <row r="26" spans="1:12" ht="18" customHeight="1" x14ac:dyDescent="0.25">
      <c r="A26" s="67">
        <v>21</v>
      </c>
      <c r="B26" s="67" t="str">
        <f>IFERROR(INDEX('Paid-Data'!$A:$A,MATCH(ROW()-5,'Paid-Data'!$Q:$Q,0)),"")</f>
        <v/>
      </c>
      <c r="C26" s="67" t="str">
        <f>IFERROR(VLOOKUP(B26,Personnel!$A:$R,4,0),"")</f>
        <v/>
      </c>
      <c r="D26" s="67" t="str">
        <f>IFERROR(VLOOKUP(B26,Personnel!$A:$R,5,0),"")</f>
        <v/>
      </c>
      <c r="E26" s="67" t="str">
        <f>IFERROR(VLOOKUP(B26,Personnel!$A:$R,6,0),"")</f>
        <v/>
      </c>
      <c r="F26" s="67" t="str">
        <f>IFERROR(VLOOKUP(B26,Personnel!$A:$R,8,0),"")</f>
        <v/>
      </c>
      <c r="G26" s="68" t="str">
        <f>IFERROR(INDEX('Paid-Data'!G:G,MATCH(B26&amp;Identification!C12,_xlfn.CHOOSECOLS('Paid-Data'!A:A,1)&amp;'Paid-Data'!N:N,0)),"")</f>
        <v/>
      </c>
      <c r="H26" s="68"/>
      <c r="I26" s="68" t="str">
        <f t="shared" si="0"/>
        <v/>
      </c>
      <c r="J26" s="67" t="str">
        <f>IFERROR(VLOOKUP(B26,Personnel!$A:$R,11,0),"")</f>
        <v/>
      </c>
      <c r="K26" s="67"/>
      <c r="L26" s="67"/>
    </row>
    <row r="27" spans="1:12" ht="18" customHeight="1" x14ac:dyDescent="0.25">
      <c r="A27" s="69">
        <v>22</v>
      </c>
      <c r="B27" s="69" t="str">
        <f>IFERROR(INDEX('Paid-Data'!$A:$A,MATCH(ROW()-5,'Paid-Data'!$Q:$Q,0)),"")</f>
        <v/>
      </c>
      <c r="C27" s="69" t="str">
        <f>IFERROR(VLOOKUP(B27,Personnel!$A:$R,4,0),"")</f>
        <v/>
      </c>
      <c r="D27" s="69" t="str">
        <f>IFERROR(VLOOKUP(B27,Personnel!$A:$R,5,0),"")</f>
        <v/>
      </c>
      <c r="E27" s="69" t="str">
        <f>IFERROR(VLOOKUP(B27,Personnel!$A:$R,6,0),"")</f>
        <v/>
      </c>
      <c r="F27" s="69" t="str">
        <f>IFERROR(VLOOKUP(B27,Personnel!$A:$R,8,0),"")</f>
        <v/>
      </c>
      <c r="G27" s="70" t="str">
        <f>IFERROR(INDEX('Paid-Data'!G:G,MATCH(B27&amp;Identification!C12,_xlfn.CHOOSECOLS('Paid-Data'!A:A,1)&amp;'Paid-Data'!N:N,0)),"")</f>
        <v/>
      </c>
      <c r="H27" s="70"/>
      <c r="I27" s="70" t="str">
        <f t="shared" si="0"/>
        <v/>
      </c>
      <c r="J27" s="69" t="str">
        <f>IFERROR(VLOOKUP(B27,Personnel!$A:$R,11,0),"")</f>
        <v/>
      </c>
      <c r="K27" s="69"/>
      <c r="L27" s="69"/>
    </row>
    <row r="28" spans="1:12" ht="18" customHeight="1" x14ac:dyDescent="0.25">
      <c r="A28" s="67">
        <v>23</v>
      </c>
      <c r="B28" s="67" t="str">
        <f>IFERROR(INDEX('Paid-Data'!$A:$A,MATCH(ROW()-5,'Paid-Data'!$Q:$Q,0)),"")</f>
        <v/>
      </c>
      <c r="C28" s="67" t="str">
        <f>IFERROR(VLOOKUP(B28,Personnel!$A:$R,4,0),"")</f>
        <v/>
      </c>
      <c r="D28" s="67" t="str">
        <f>IFERROR(VLOOKUP(B28,Personnel!$A:$R,5,0),"")</f>
        <v/>
      </c>
      <c r="E28" s="67" t="str">
        <f>IFERROR(VLOOKUP(B28,Personnel!$A:$R,6,0),"")</f>
        <v/>
      </c>
      <c r="F28" s="67" t="str">
        <f>IFERROR(VLOOKUP(B28,Personnel!$A:$R,8,0),"")</f>
        <v/>
      </c>
      <c r="G28" s="68" t="str">
        <f>IFERROR(INDEX('Paid-Data'!G:G,MATCH(B28&amp;Identification!C12,_xlfn.CHOOSECOLS('Paid-Data'!A:A,1)&amp;'Paid-Data'!N:N,0)),"")</f>
        <v/>
      </c>
      <c r="H28" s="68"/>
      <c r="I28" s="68" t="str">
        <f t="shared" si="0"/>
        <v/>
      </c>
      <c r="J28" s="67" t="str">
        <f>IFERROR(VLOOKUP(B28,Personnel!$A:$R,11,0),"")</f>
        <v/>
      </c>
      <c r="K28" s="67"/>
      <c r="L28" s="67"/>
    </row>
    <row r="29" spans="1:12" ht="18" customHeight="1" x14ac:dyDescent="0.25">
      <c r="A29" s="69">
        <v>24</v>
      </c>
      <c r="B29" s="69" t="str">
        <f>IFERROR(INDEX('Paid-Data'!$A:$A,MATCH(ROW()-5,'Paid-Data'!$Q:$Q,0)),"")</f>
        <v/>
      </c>
      <c r="C29" s="69" t="str">
        <f>IFERROR(VLOOKUP(B29,Personnel!$A:$R,4,0),"")</f>
        <v/>
      </c>
      <c r="D29" s="69" t="str">
        <f>IFERROR(VLOOKUP(B29,Personnel!$A:$R,5,0),"")</f>
        <v/>
      </c>
      <c r="E29" s="69" t="str">
        <f>IFERROR(VLOOKUP(B29,Personnel!$A:$R,6,0),"")</f>
        <v/>
      </c>
      <c r="F29" s="69" t="str">
        <f>IFERROR(VLOOKUP(B29,Personnel!$A:$R,8,0),"")</f>
        <v/>
      </c>
      <c r="G29" s="70" t="str">
        <f>IFERROR(INDEX('Paid-Data'!G:G,MATCH(B29&amp;Identification!C12,_xlfn.CHOOSECOLS('Paid-Data'!A:A,1)&amp;'Paid-Data'!N:N,0)),"")</f>
        <v/>
      </c>
      <c r="H29" s="70"/>
      <c r="I29" s="70" t="str">
        <f t="shared" si="0"/>
        <v/>
      </c>
      <c r="J29" s="69" t="str">
        <f>IFERROR(VLOOKUP(B29,Personnel!$A:$R,11,0),"")</f>
        <v/>
      </c>
      <c r="K29" s="69"/>
      <c r="L29" s="69"/>
    </row>
    <row r="30" spans="1:12" ht="18" customHeight="1" x14ac:dyDescent="0.25">
      <c r="A30" s="67">
        <v>25</v>
      </c>
      <c r="B30" s="67" t="str">
        <f>IFERROR(INDEX('Paid-Data'!$A:$A,MATCH(ROW()-5,'Paid-Data'!$Q:$Q,0)),"")</f>
        <v/>
      </c>
      <c r="C30" s="67" t="str">
        <f>IFERROR(VLOOKUP(B30,Personnel!$A:$R,4,0),"")</f>
        <v/>
      </c>
      <c r="D30" s="67" t="str">
        <f>IFERROR(VLOOKUP(B30,Personnel!$A:$R,5,0),"")</f>
        <v/>
      </c>
      <c r="E30" s="67" t="str">
        <f>IFERROR(VLOOKUP(B30,Personnel!$A:$R,6,0),"")</f>
        <v/>
      </c>
      <c r="F30" s="67" t="str">
        <f>IFERROR(VLOOKUP(B30,Personnel!$A:$R,8,0),"")</f>
        <v/>
      </c>
      <c r="G30" s="68" t="str">
        <f>IFERROR(INDEX('Paid-Data'!G:G,MATCH(B30&amp;Identification!C12,_xlfn.CHOOSECOLS('Paid-Data'!A:A,1)&amp;'Paid-Data'!N:N,0)),"")</f>
        <v/>
      </c>
      <c r="H30" s="68"/>
      <c r="I30" s="68" t="str">
        <f t="shared" si="0"/>
        <v/>
      </c>
      <c r="J30" s="67" t="str">
        <f>IFERROR(VLOOKUP(B30,Personnel!$A:$R,11,0),"")</f>
        <v/>
      </c>
      <c r="K30" s="67"/>
      <c r="L30" s="67"/>
    </row>
    <row r="31" spans="1:12" ht="18" customHeight="1" x14ac:dyDescent="0.25">
      <c r="A31" s="69">
        <v>26</v>
      </c>
      <c r="B31" s="69" t="str">
        <f>IFERROR(INDEX('Paid-Data'!$A:$A,MATCH(ROW()-5,'Paid-Data'!$Q:$Q,0)),"")</f>
        <v/>
      </c>
      <c r="C31" s="69" t="str">
        <f>IFERROR(VLOOKUP(B31,Personnel!$A:$R,4,0),"")</f>
        <v/>
      </c>
      <c r="D31" s="69" t="str">
        <f>IFERROR(VLOOKUP(B31,Personnel!$A:$R,5,0),"")</f>
        <v/>
      </c>
      <c r="E31" s="69" t="str">
        <f>IFERROR(VLOOKUP(B31,Personnel!$A:$R,6,0),"")</f>
        <v/>
      </c>
      <c r="F31" s="69" t="str">
        <f>IFERROR(VLOOKUP(B31,Personnel!$A:$R,8,0),"")</f>
        <v/>
      </c>
      <c r="G31" s="70" t="str">
        <f>IFERROR(INDEX('Paid-Data'!G:G,MATCH(B31&amp;Identification!C12,_xlfn.CHOOSECOLS('Paid-Data'!A:A,1)&amp;'Paid-Data'!N:N,0)),"")</f>
        <v/>
      </c>
      <c r="H31" s="70"/>
      <c r="I31" s="70" t="str">
        <f t="shared" si="0"/>
        <v/>
      </c>
      <c r="J31" s="69" t="str">
        <f>IFERROR(VLOOKUP(B31,Personnel!$A:$R,11,0),"")</f>
        <v/>
      </c>
      <c r="K31" s="69"/>
      <c r="L31" s="69"/>
    </row>
    <row r="32" spans="1:12" ht="18" customHeight="1" x14ac:dyDescent="0.25">
      <c r="A32" s="67">
        <v>27</v>
      </c>
      <c r="B32" s="67" t="str">
        <f>IFERROR(INDEX('Paid-Data'!$A:$A,MATCH(ROW()-5,'Paid-Data'!$Q:$Q,0)),"")</f>
        <v/>
      </c>
      <c r="C32" s="67" t="str">
        <f>IFERROR(VLOOKUP(B32,Personnel!$A:$R,4,0),"")</f>
        <v/>
      </c>
      <c r="D32" s="67" t="str">
        <f>IFERROR(VLOOKUP(B32,Personnel!$A:$R,5,0),"")</f>
        <v/>
      </c>
      <c r="E32" s="67" t="str">
        <f>IFERROR(VLOOKUP(B32,Personnel!$A:$R,6,0),"")</f>
        <v/>
      </c>
      <c r="F32" s="67" t="str">
        <f>IFERROR(VLOOKUP(B32,Personnel!$A:$R,8,0),"")</f>
        <v/>
      </c>
      <c r="G32" s="68" t="str">
        <f>IFERROR(INDEX('Paid-Data'!G:G,MATCH(B32&amp;Identification!C12,_xlfn.CHOOSECOLS('Paid-Data'!A:A,1)&amp;'Paid-Data'!N:N,0)),"")</f>
        <v/>
      </c>
      <c r="H32" s="68"/>
      <c r="I32" s="68" t="str">
        <f t="shared" si="0"/>
        <v/>
      </c>
      <c r="J32" s="67" t="str">
        <f>IFERROR(VLOOKUP(B32,Personnel!$A:$R,11,0),"")</f>
        <v/>
      </c>
      <c r="K32" s="67"/>
      <c r="L32" s="67"/>
    </row>
    <row r="33" spans="1:12" ht="18" customHeight="1" x14ac:dyDescent="0.25">
      <c r="A33" s="69">
        <v>28</v>
      </c>
      <c r="B33" s="69" t="str">
        <f>IFERROR(INDEX('Paid-Data'!$A:$A,MATCH(ROW()-5,'Paid-Data'!$Q:$Q,0)),"")</f>
        <v/>
      </c>
      <c r="C33" s="69" t="str">
        <f>IFERROR(VLOOKUP(B33,Personnel!$A:$R,4,0),"")</f>
        <v/>
      </c>
      <c r="D33" s="69" t="str">
        <f>IFERROR(VLOOKUP(B33,Personnel!$A:$R,5,0),"")</f>
        <v/>
      </c>
      <c r="E33" s="69" t="str">
        <f>IFERROR(VLOOKUP(B33,Personnel!$A:$R,6,0),"")</f>
        <v/>
      </c>
      <c r="F33" s="69" t="str">
        <f>IFERROR(VLOOKUP(B33,Personnel!$A:$R,8,0),"")</f>
        <v/>
      </c>
      <c r="G33" s="70" t="str">
        <f>IFERROR(INDEX('Paid-Data'!G:G,MATCH(B33&amp;Identification!C12,_xlfn.CHOOSECOLS('Paid-Data'!A:A,1)&amp;'Paid-Data'!N:N,0)),"")</f>
        <v/>
      </c>
      <c r="H33" s="70"/>
      <c r="I33" s="70" t="str">
        <f t="shared" si="0"/>
        <v/>
      </c>
      <c r="J33" s="69" t="str">
        <f>IFERROR(VLOOKUP(B33,Personnel!$A:$R,11,0),"")</f>
        <v/>
      </c>
      <c r="K33" s="69"/>
      <c r="L33" s="69"/>
    </row>
    <row r="34" spans="1:12" ht="18" customHeight="1" x14ac:dyDescent="0.25">
      <c r="A34" s="67">
        <v>29</v>
      </c>
      <c r="B34" s="67" t="str">
        <f>IFERROR(INDEX('Paid-Data'!$A:$A,MATCH(ROW()-5,'Paid-Data'!$Q:$Q,0)),"")</f>
        <v/>
      </c>
      <c r="C34" s="67" t="str">
        <f>IFERROR(VLOOKUP(B34,Personnel!$A:$R,4,0),"")</f>
        <v/>
      </c>
      <c r="D34" s="67" t="str">
        <f>IFERROR(VLOOKUP(B34,Personnel!$A:$R,5,0),"")</f>
        <v/>
      </c>
      <c r="E34" s="67" t="str">
        <f>IFERROR(VLOOKUP(B34,Personnel!$A:$R,6,0),"")</f>
        <v/>
      </c>
      <c r="F34" s="67" t="str">
        <f>IFERROR(VLOOKUP(B34,Personnel!$A:$R,8,0),"")</f>
        <v/>
      </c>
      <c r="G34" s="68" t="str">
        <f>IFERROR(INDEX('Paid-Data'!G:G,MATCH(B34&amp;Identification!C12,_xlfn.CHOOSECOLS('Paid-Data'!A:A,1)&amp;'Paid-Data'!N:N,0)),"")</f>
        <v/>
      </c>
      <c r="H34" s="68"/>
      <c r="I34" s="68" t="str">
        <f t="shared" si="0"/>
        <v/>
      </c>
      <c r="J34" s="67" t="str">
        <f>IFERROR(VLOOKUP(B34,Personnel!$A:$R,11,0),"")</f>
        <v/>
      </c>
      <c r="K34" s="67"/>
      <c r="L34" s="67"/>
    </row>
    <row r="35" spans="1:12" ht="18" customHeight="1" x14ac:dyDescent="0.25">
      <c r="A35" s="69">
        <v>30</v>
      </c>
      <c r="B35" s="69" t="str">
        <f>IFERROR(INDEX('Paid-Data'!$A:$A,MATCH(ROW()-5,'Paid-Data'!$Q:$Q,0)),"")</f>
        <v/>
      </c>
      <c r="C35" s="69" t="str">
        <f>IFERROR(VLOOKUP(B35,Personnel!$A:$R,4,0),"")</f>
        <v/>
      </c>
      <c r="D35" s="69" t="str">
        <f>IFERROR(VLOOKUP(B35,Personnel!$A:$R,5,0),"")</f>
        <v/>
      </c>
      <c r="E35" s="69" t="str">
        <f>IFERROR(VLOOKUP(B35,Personnel!$A:$R,6,0),"")</f>
        <v/>
      </c>
      <c r="F35" s="69" t="str">
        <f>IFERROR(VLOOKUP(B35,Personnel!$A:$R,8,0),"")</f>
        <v/>
      </c>
      <c r="G35" s="70" t="str">
        <f>IFERROR(INDEX('Paid-Data'!G:G,MATCH(B35&amp;Identification!C12,_xlfn.CHOOSECOLS('Paid-Data'!A:A,1)&amp;'Paid-Data'!N:N,0)),"")</f>
        <v/>
      </c>
      <c r="H35" s="70"/>
      <c r="I35" s="70" t="str">
        <f t="shared" si="0"/>
        <v/>
      </c>
      <c r="J35" s="69" t="str">
        <f>IFERROR(VLOOKUP(B35,Personnel!$A:$R,11,0),"")</f>
        <v/>
      </c>
      <c r="K35" s="69"/>
      <c r="L35" s="69"/>
    </row>
    <row r="36" spans="1:12" ht="18" customHeight="1" x14ac:dyDescent="0.25">
      <c r="A36" s="67">
        <v>31</v>
      </c>
      <c r="B36" s="67" t="str">
        <f>IFERROR(INDEX('Paid-Data'!$A:$A,MATCH(ROW()-5,'Paid-Data'!$Q:$Q,0)),"")</f>
        <v/>
      </c>
      <c r="C36" s="67" t="str">
        <f>IFERROR(VLOOKUP(B36,Personnel!$A:$R,4,0),"")</f>
        <v/>
      </c>
      <c r="D36" s="67" t="str">
        <f>IFERROR(VLOOKUP(B36,Personnel!$A:$R,5,0),"")</f>
        <v/>
      </c>
      <c r="E36" s="67" t="str">
        <f>IFERROR(VLOOKUP(B36,Personnel!$A:$R,6,0),"")</f>
        <v/>
      </c>
      <c r="F36" s="67" t="str">
        <f>IFERROR(VLOOKUP(B36,Personnel!$A:$R,8,0),"")</f>
        <v/>
      </c>
      <c r="G36" s="68" t="str">
        <f>IFERROR(INDEX('Paid-Data'!G:G,MATCH(B36&amp;Identification!C12,_xlfn.CHOOSECOLS('Paid-Data'!A:A,1)&amp;'Paid-Data'!N:N,0)),"")</f>
        <v/>
      </c>
      <c r="H36" s="68"/>
      <c r="I36" s="68" t="str">
        <f t="shared" si="0"/>
        <v/>
      </c>
      <c r="J36" s="67" t="str">
        <f>IFERROR(VLOOKUP(B36,Personnel!$A:$R,11,0),"")</f>
        <v/>
      </c>
      <c r="K36" s="67"/>
      <c r="L36" s="67"/>
    </row>
    <row r="37" spans="1:12" ht="18" customHeight="1" x14ac:dyDescent="0.25">
      <c r="A37" s="69">
        <v>32</v>
      </c>
      <c r="B37" s="69" t="str">
        <f>IFERROR(INDEX('Paid-Data'!$A:$A,MATCH(ROW()-5,'Paid-Data'!$Q:$Q,0)),"")</f>
        <v/>
      </c>
      <c r="C37" s="69" t="str">
        <f>IFERROR(VLOOKUP(B37,Personnel!$A:$R,4,0),"")</f>
        <v/>
      </c>
      <c r="D37" s="69" t="str">
        <f>IFERROR(VLOOKUP(B37,Personnel!$A:$R,5,0),"")</f>
        <v/>
      </c>
      <c r="E37" s="69" t="str">
        <f>IFERROR(VLOOKUP(B37,Personnel!$A:$R,6,0),"")</f>
        <v/>
      </c>
      <c r="F37" s="69" t="str">
        <f>IFERROR(VLOOKUP(B37,Personnel!$A:$R,8,0),"")</f>
        <v/>
      </c>
      <c r="G37" s="70" t="str">
        <f>IFERROR(INDEX('Paid-Data'!G:G,MATCH(B37&amp;Identification!C12,_xlfn.CHOOSECOLS('Paid-Data'!A:A,1)&amp;'Paid-Data'!N:N,0)),"")</f>
        <v/>
      </c>
      <c r="H37" s="70"/>
      <c r="I37" s="70" t="str">
        <f t="shared" si="0"/>
        <v/>
      </c>
      <c r="J37" s="69" t="str">
        <f>IFERROR(VLOOKUP(B37,Personnel!$A:$R,11,0),"")</f>
        <v/>
      </c>
      <c r="K37" s="69"/>
      <c r="L37" s="69"/>
    </row>
    <row r="38" spans="1:12" ht="18" customHeight="1" x14ac:dyDescent="0.25">
      <c r="A38" s="67">
        <v>33</v>
      </c>
      <c r="B38" s="67" t="str">
        <f>IFERROR(INDEX('Paid-Data'!$A:$A,MATCH(ROW()-5,'Paid-Data'!$Q:$Q,0)),"")</f>
        <v/>
      </c>
      <c r="C38" s="67" t="str">
        <f>IFERROR(VLOOKUP(B38,Personnel!$A:$R,4,0),"")</f>
        <v/>
      </c>
      <c r="D38" s="67" t="str">
        <f>IFERROR(VLOOKUP(B38,Personnel!$A:$R,5,0),"")</f>
        <v/>
      </c>
      <c r="E38" s="67" t="str">
        <f>IFERROR(VLOOKUP(B38,Personnel!$A:$R,6,0),"")</f>
        <v/>
      </c>
      <c r="F38" s="67" t="str">
        <f>IFERROR(VLOOKUP(B38,Personnel!$A:$R,8,0),"")</f>
        <v/>
      </c>
      <c r="G38" s="68" t="str">
        <f>IFERROR(INDEX('Paid-Data'!G:G,MATCH(B38&amp;Identification!C12,_xlfn.CHOOSECOLS('Paid-Data'!A:A,1)&amp;'Paid-Data'!N:N,0)),"")</f>
        <v/>
      </c>
      <c r="H38" s="68"/>
      <c r="I38" s="68" t="str">
        <f t="shared" si="0"/>
        <v/>
      </c>
      <c r="J38" s="67" t="str">
        <f>IFERROR(VLOOKUP(B38,Personnel!$A:$R,11,0),"")</f>
        <v/>
      </c>
      <c r="K38" s="67"/>
      <c r="L38" s="67"/>
    </row>
    <row r="39" spans="1:12" ht="18" customHeight="1" x14ac:dyDescent="0.25">
      <c r="A39" s="69">
        <v>34</v>
      </c>
      <c r="B39" s="69" t="str">
        <f>IFERROR(INDEX('Paid-Data'!$A:$A,MATCH(ROW()-5,'Paid-Data'!$Q:$Q,0)),"")</f>
        <v/>
      </c>
      <c r="C39" s="69" t="str">
        <f>IFERROR(VLOOKUP(B39,Personnel!$A:$R,4,0),"")</f>
        <v/>
      </c>
      <c r="D39" s="69" t="str">
        <f>IFERROR(VLOOKUP(B39,Personnel!$A:$R,5,0),"")</f>
        <v/>
      </c>
      <c r="E39" s="69" t="str">
        <f>IFERROR(VLOOKUP(B39,Personnel!$A:$R,6,0),"")</f>
        <v/>
      </c>
      <c r="F39" s="69" t="str">
        <f>IFERROR(VLOOKUP(B39,Personnel!$A:$R,8,0),"")</f>
        <v/>
      </c>
      <c r="G39" s="70" t="str">
        <f>IFERROR(INDEX('Paid-Data'!G:G,MATCH(B39&amp;Identification!C12,_xlfn.CHOOSECOLS('Paid-Data'!A:A,1)&amp;'Paid-Data'!N:N,0)),"")</f>
        <v/>
      </c>
      <c r="H39" s="70"/>
      <c r="I39" s="70" t="str">
        <f t="shared" si="0"/>
        <v/>
      </c>
      <c r="J39" s="69" t="str">
        <f>IFERROR(VLOOKUP(B39,Personnel!$A:$R,11,0),"")</f>
        <v/>
      </c>
      <c r="K39" s="69"/>
      <c r="L39" s="69"/>
    </row>
    <row r="40" spans="1:12" ht="18" customHeight="1" x14ac:dyDescent="0.25">
      <c r="A40" s="67">
        <v>35</v>
      </c>
      <c r="B40" s="67" t="str">
        <f>IFERROR(INDEX('Paid-Data'!$A:$A,MATCH(ROW()-5,'Paid-Data'!$Q:$Q,0)),"")</f>
        <v/>
      </c>
      <c r="C40" s="67" t="str">
        <f>IFERROR(VLOOKUP(B40,Personnel!$A:$R,4,0),"")</f>
        <v/>
      </c>
      <c r="D40" s="67" t="str">
        <f>IFERROR(VLOOKUP(B40,Personnel!$A:$R,5,0),"")</f>
        <v/>
      </c>
      <c r="E40" s="67" t="str">
        <f>IFERROR(VLOOKUP(B40,Personnel!$A:$R,6,0),"")</f>
        <v/>
      </c>
      <c r="F40" s="67" t="str">
        <f>IFERROR(VLOOKUP(B40,Personnel!$A:$R,8,0),"")</f>
        <v/>
      </c>
      <c r="G40" s="68" t="str">
        <f>IFERROR(INDEX('Paid-Data'!G:G,MATCH(B40&amp;Identification!C12,_xlfn.CHOOSECOLS('Paid-Data'!A:A,1)&amp;'Paid-Data'!N:N,0)),"")</f>
        <v/>
      </c>
      <c r="H40" s="68"/>
      <c r="I40" s="68" t="str">
        <f t="shared" si="0"/>
        <v/>
      </c>
      <c r="J40" s="67" t="str">
        <f>IFERROR(VLOOKUP(B40,Personnel!$A:$R,11,0),"")</f>
        <v/>
      </c>
      <c r="K40" s="67"/>
      <c r="L40" s="67"/>
    </row>
    <row r="41" spans="1:12" ht="18" customHeight="1" x14ac:dyDescent="0.25">
      <c r="A41" s="69">
        <v>36</v>
      </c>
      <c r="B41" s="69" t="str">
        <f>IFERROR(INDEX('Paid-Data'!$A:$A,MATCH(ROW()-5,'Paid-Data'!$Q:$Q,0)),"")</f>
        <v/>
      </c>
      <c r="C41" s="69" t="str">
        <f>IFERROR(VLOOKUP(B41,Personnel!$A:$R,4,0),"")</f>
        <v/>
      </c>
      <c r="D41" s="69" t="str">
        <f>IFERROR(VLOOKUP(B41,Personnel!$A:$R,5,0),"")</f>
        <v/>
      </c>
      <c r="E41" s="69" t="str">
        <f>IFERROR(VLOOKUP(B41,Personnel!$A:$R,6,0),"")</f>
        <v/>
      </c>
      <c r="F41" s="69" t="str">
        <f>IFERROR(VLOOKUP(B41,Personnel!$A:$R,8,0),"")</f>
        <v/>
      </c>
      <c r="G41" s="70" t="str">
        <f>IFERROR(INDEX('Paid-Data'!G:G,MATCH(B41&amp;Identification!C12,_xlfn.CHOOSECOLS('Paid-Data'!A:A,1)&amp;'Paid-Data'!N:N,0)),"")</f>
        <v/>
      </c>
      <c r="H41" s="70"/>
      <c r="I41" s="70" t="str">
        <f t="shared" si="0"/>
        <v/>
      </c>
      <c r="J41" s="69" t="str">
        <f>IFERROR(VLOOKUP(B41,Personnel!$A:$R,11,0),"")</f>
        <v/>
      </c>
      <c r="K41" s="69"/>
      <c r="L41" s="69"/>
    </row>
    <row r="42" spans="1:12" ht="18" customHeight="1" x14ac:dyDescent="0.25">
      <c r="A42" s="67">
        <v>37</v>
      </c>
      <c r="B42" s="67" t="str">
        <f>IFERROR(INDEX('Paid-Data'!$A:$A,MATCH(ROW()-5,'Paid-Data'!$Q:$Q,0)),"")</f>
        <v/>
      </c>
      <c r="C42" s="67" t="str">
        <f>IFERROR(VLOOKUP(B42,Personnel!$A:$R,4,0),"")</f>
        <v/>
      </c>
      <c r="D42" s="67" t="str">
        <f>IFERROR(VLOOKUP(B42,Personnel!$A:$R,5,0),"")</f>
        <v/>
      </c>
      <c r="E42" s="67" t="str">
        <f>IFERROR(VLOOKUP(B42,Personnel!$A:$R,6,0),"")</f>
        <v/>
      </c>
      <c r="F42" s="67" t="str">
        <f>IFERROR(VLOOKUP(B42,Personnel!$A:$R,8,0),"")</f>
        <v/>
      </c>
      <c r="G42" s="68" t="str">
        <f>IFERROR(INDEX('Paid-Data'!G:G,MATCH(B42&amp;Identification!C12,_xlfn.CHOOSECOLS('Paid-Data'!A:A,1)&amp;'Paid-Data'!N:N,0)),"")</f>
        <v/>
      </c>
      <c r="H42" s="68"/>
      <c r="I42" s="68" t="str">
        <f t="shared" si="0"/>
        <v/>
      </c>
      <c r="J42" s="67" t="str">
        <f>IFERROR(VLOOKUP(B42,Personnel!$A:$R,11,0),"")</f>
        <v/>
      </c>
      <c r="K42" s="67"/>
      <c r="L42" s="67"/>
    </row>
    <row r="43" spans="1:12" ht="18" customHeight="1" x14ac:dyDescent="0.25">
      <c r="A43" s="69">
        <v>38</v>
      </c>
      <c r="B43" s="69" t="str">
        <f>IFERROR(INDEX('Paid-Data'!$A:$A,MATCH(ROW()-5,'Paid-Data'!$Q:$Q,0)),"")</f>
        <v/>
      </c>
      <c r="C43" s="69" t="str">
        <f>IFERROR(VLOOKUP(B43,Personnel!$A:$R,4,0),"")</f>
        <v/>
      </c>
      <c r="D43" s="69" t="str">
        <f>IFERROR(VLOOKUP(B43,Personnel!$A:$R,5,0),"")</f>
        <v/>
      </c>
      <c r="E43" s="69" t="str">
        <f>IFERROR(VLOOKUP(B43,Personnel!$A:$R,6,0),"")</f>
        <v/>
      </c>
      <c r="F43" s="69" t="str">
        <f>IFERROR(VLOOKUP(B43,Personnel!$A:$R,8,0),"")</f>
        <v/>
      </c>
      <c r="G43" s="70" t="str">
        <f>IFERROR(INDEX('Paid-Data'!G:G,MATCH(B43&amp;Identification!C12,_xlfn.CHOOSECOLS('Paid-Data'!A:A,1)&amp;'Paid-Data'!N:N,0)),"")</f>
        <v/>
      </c>
      <c r="H43" s="70"/>
      <c r="I43" s="70" t="str">
        <f t="shared" si="0"/>
        <v/>
      </c>
      <c r="J43" s="69" t="str">
        <f>IFERROR(VLOOKUP(B43,Personnel!$A:$R,11,0),"")</f>
        <v/>
      </c>
      <c r="K43" s="69"/>
      <c r="L43" s="69"/>
    </row>
    <row r="44" spans="1:12" ht="18" customHeight="1" x14ac:dyDescent="0.25">
      <c r="A44" s="67">
        <v>39</v>
      </c>
      <c r="B44" s="67" t="str">
        <f>IFERROR(INDEX('Paid-Data'!$A:$A,MATCH(ROW()-5,'Paid-Data'!$Q:$Q,0)),"")</f>
        <v/>
      </c>
      <c r="C44" s="67" t="str">
        <f>IFERROR(VLOOKUP(B44,Personnel!$A:$R,4,0),"")</f>
        <v/>
      </c>
      <c r="D44" s="67" t="str">
        <f>IFERROR(VLOOKUP(B44,Personnel!$A:$R,5,0),"")</f>
        <v/>
      </c>
      <c r="E44" s="67" t="str">
        <f>IFERROR(VLOOKUP(B44,Personnel!$A:$R,6,0),"")</f>
        <v/>
      </c>
      <c r="F44" s="67" t="str">
        <f>IFERROR(VLOOKUP(B44,Personnel!$A:$R,8,0),"")</f>
        <v/>
      </c>
      <c r="G44" s="68" t="str">
        <f>IFERROR(INDEX('Paid-Data'!G:G,MATCH(B44&amp;Identification!C12,_xlfn.CHOOSECOLS('Paid-Data'!A:A,1)&amp;'Paid-Data'!N:N,0)),"")</f>
        <v/>
      </c>
      <c r="H44" s="68"/>
      <c r="I44" s="68" t="str">
        <f t="shared" si="0"/>
        <v/>
      </c>
      <c r="J44" s="67" t="str">
        <f>IFERROR(VLOOKUP(B44,Personnel!$A:$R,11,0),"")</f>
        <v/>
      </c>
      <c r="K44" s="67"/>
      <c r="L44" s="67"/>
    </row>
    <row r="45" spans="1:12" ht="18" customHeight="1" x14ac:dyDescent="0.25">
      <c r="A45" s="69">
        <v>40</v>
      </c>
      <c r="B45" s="69" t="str">
        <f>IFERROR(INDEX('Paid-Data'!$A:$A,MATCH(ROW()-5,'Paid-Data'!$Q:$Q,0)),"")</f>
        <v/>
      </c>
      <c r="C45" s="69" t="str">
        <f>IFERROR(VLOOKUP(B45,Personnel!$A:$R,4,0),"")</f>
        <v/>
      </c>
      <c r="D45" s="69" t="str">
        <f>IFERROR(VLOOKUP(B45,Personnel!$A:$R,5,0),"")</f>
        <v/>
      </c>
      <c r="E45" s="69" t="str">
        <f>IFERROR(VLOOKUP(B45,Personnel!$A:$R,6,0),"")</f>
        <v/>
      </c>
      <c r="F45" s="69" t="str">
        <f>IFERROR(VLOOKUP(B45,Personnel!$A:$R,8,0),"")</f>
        <v/>
      </c>
      <c r="G45" s="70" t="str">
        <f>IFERROR(INDEX('Paid-Data'!G:G,MATCH(B45&amp;Identification!C12,_xlfn.CHOOSECOLS('Paid-Data'!A:A,1)&amp;'Paid-Data'!N:N,0)),"")</f>
        <v/>
      </c>
      <c r="H45" s="70"/>
      <c r="I45" s="70" t="str">
        <f t="shared" si="0"/>
        <v/>
      </c>
      <c r="J45" s="69" t="str">
        <f>IFERROR(VLOOKUP(B45,Personnel!$A:$R,11,0),"")</f>
        <v/>
      </c>
      <c r="K45" s="69"/>
      <c r="L45" s="69"/>
    </row>
    <row r="46" spans="1:12" ht="18" customHeight="1" x14ac:dyDescent="0.25">
      <c r="A46" s="67">
        <v>41</v>
      </c>
      <c r="B46" s="67" t="str">
        <f>IFERROR(INDEX('Paid-Data'!$A:$A,MATCH(ROW()-5,'Paid-Data'!$Q:$Q,0)),"")</f>
        <v/>
      </c>
      <c r="C46" s="67" t="str">
        <f>IFERROR(VLOOKUP(B46,Personnel!$A:$R,4,0),"")</f>
        <v/>
      </c>
      <c r="D46" s="67" t="str">
        <f>IFERROR(VLOOKUP(B46,Personnel!$A:$R,5,0),"")</f>
        <v/>
      </c>
      <c r="E46" s="67" t="str">
        <f>IFERROR(VLOOKUP(B46,Personnel!$A:$R,6,0),"")</f>
        <v/>
      </c>
      <c r="F46" s="67" t="str">
        <f>IFERROR(VLOOKUP(B46,Personnel!$A:$R,8,0),"")</f>
        <v/>
      </c>
      <c r="G46" s="68" t="str">
        <f>IFERROR(INDEX('Paid-Data'!G:G,MATCH(B46&amp;Identification!C12,_xlfn.CHOOSECOLS('Paid-Data'!A:A,1)&amp;'Paid-Data'!N:N,0)),"")</f>
        <v/>
      </c>
      <c r="H46" s="68"/>
      <c r="I46" s="68" t="str">
        <f t="shared" si="0"/>
        <v/>
      </c>
      <c r="J46" s="67" t="str">
        <f>IFERROR(VLOOKUP(B46,Personnel!$A:$R,11,0),"")</f>
        <v/>
      </c>
      <c r="K46" s="67"/>
      <c r="L46" s="67"/>
    </row>
    <row r="47" spans="1:12" ht="18" customHeight="1" x14ac:dyDescent="0.25">
      <c r="A47" s="69">
        <v>42</v>
      </c>
      <c r="B47" s="69" t="str">
        <f>IFERROR(INDEX('Paid-Data'!$A:$A,MATCH(ROW()-5,'Paid-Data'!$Q:$Q,0)),"")</f>
        <v/>
      </c>
      <c r="C47" s="69" t="str">
        <f>IFERROR(VLOOKUP(B47,Personnel!$A:$R,4,0),"")</f>
        <v/>
      </c>
      <c r="D47" s="69" t="str">
        <f>IFERROR(VLOOKUP(B47,Personnel!$A:$R,5,0),"")</f>
        <v/>
      </c>
      <c r="E47" s="69" t="str">
        <f>IFERROR(VLOOKUP(B47,Personnel!$A:$R,6,0),"")</f>
        <v/>
      </c>
      <c r="F47" s="69" t="str">
        <f>IFERROR(VLOOKUP(B47,Personnel!$A:$R,8,0),"")</f>
        <v/>
      </c>
      <c r="G47" s="70" t="str">
        <f>IFERROR(INDEX('Paid-Data'!G:G,MATCH(B47&amp;Identification!C12,_xlfn.CHOOSECOLS('Paid-Data'!A:A,1)&amp;'Paid-Data'!N:N,0)),"")</f>
        <v/>
      </c>
      <c r="H47" s="70"/>
      <c r="I47" s="70" t="str">
        <f t="shared" si="0"/>
        <v/>
      </c>
      <c r="J47" s="69" t="str">
        <f>IFERROR(VLOOKUP(B47,Personnel!$A:$R,11,0),"")</f>
        <v/>
      </c>
      <c r="K47" s="69"/>
      <c r="L47" s="69"/>
    </row>
    <row r="48" spans="1:12" ht="18" customHeight="1" x14ac:dyDescent="0.25">
      <c r="A48" s="67">
        <v>43</v>
      </c>
      <c r="B48" s="67" t="str">
        <f>IFERROR(INDEX('Paid-Data'!$A:$A,MATCH(ROW()-5,'Paid-Data'!$Q:$Q,0)),"")</f>
        <v/>
      </c>
      <c r="C48" s="67" t="str">
        <f>IFERROR(VLOOKUP(B48,Personnel!$A:$R,4,0),"")</f>
        <v/>
      </c>
      <c r="D48" s="67" t="str">
        <f>IFERROR(VLOOKUP(B48,Personnel!$A:$R,5,0),"")</f>
        <v/>
      </c>
      <c r="E48" s="67" t="str">
        <f>IFERROR(VLOOKUP(B48,Personnel!$A:$R,6,0),"")</f>
        <v/>
      </c>
      <c r="F48" s="67" t="str">
        <f>IFERROR(VLOOKUP(B48,Personnel!$A:$R,8,0),"")</f>
        <v/>
      </c>
      <c r="G48" s="68" t="str">
        <f>IFERROR(INDEX('Paid-Data'!G:G,MATCH(B48&amp;Identification!C12,_xlfn.CHOOSECOLS('Paid-Data'!A:A,1)&amp;'Paid-Data'!N:N,0)),"")</f>
        <v/>
      </c>
      <c r="H48" s="68"/>
      <c r="I48" s="68" t="str">
        <f t="shared" si="0"/>
        <v/>
      </c>
      <c r="J48" s="67" t="str">
        <f>IFERROR(VLOOKUP(B48,Personnel!$A:$R,11,0),"")</f>
        <v/>
      </c>
      <c r="K48" s="67"/>
      <c r="L48" s="67"/>
    </row>
    <row r="49" spans="1:12" ht="18" customHeight="1" x14ac:dyDescent="0.25">
      <c r="A49" s="69">
        <v>44</v>
      </c>
      <c r="B49" s="69" t="str">
        <f>IFERROR(INDEX('Paid-Data'!$A:$A,MATCH(ROW()-5,'Paid-Data'!$Q:$Q,0)),"")</f>
        <v/>
      </c>
      <c r="C49" s="69" t="str">
        <f>IFERROR(VLOOKUP(B49,Personnel!$A:$R,4,0),"")</f>
        <v/>
      </c>
      <c r="D49" s="69" t="str">
        <f>IFERROR(VLOOKUP(B49,Personnel!$A:$R,5,0),"")</f>
        <v/>
      </c>
      <c r="E49" s="69" t="str">
        <f>IFERROR(VLOOKUP(B49,Personnel!$A:$R,6,0),"")</f>
        <v/>
      </c>
      <c r="F49" s="69" t="str">
        <f>IFERROR(VLOOKUP(B49,Personnel!$A:$R,8,0),"")</f>
        <v/>
      </c>
      <c r="G49" s="70" t="str">
        <f>IFERROR(INDEX('Paid-Data'!G:G,MATCH(B49&amp;Identification!C12,_xlfn.CHOOSECOLS('Paid-Data'!A:A,1)&amp;'Paid-Data'!N:N,0)),"")</f>
        <v/>
      </c>
      <c r="H49" s="70"/>
      <c r="I49" s="70" t="str">
        <f t="shared" si="0"/>
        <v/>
      </c>
      <c r="J49" s="69" t="str">
        <f>IFERROR(VLOOKUP(B49,Personnel!$A:$R,11,0),"")</f>
        <v/>
      </c>
      <c r="K49" s="69"/>
      <c r="L49" s="69"/>
    </row>
    <row r="50" spans="1:12" ht="18" customHeight="1" x14ac:dyDescent="0.25">
      <c r="A50" s="67">
        <v>45</v>
      </c>
      <c r="B50" s="67" t="str">
        <f>IFERROR(INDEX('Paid-Data'!$A:$A,MATCH(ROW()-5,'Paid-Data'!$Q:$Q,0)),"")</f>
        <v/>
      </c>
      <c r="C50" s="67" t="str">
        <f>IFERROR(VLOOKUP(B50,Personnel!$A:$R,4,0),"")</f>
        <v/>
      </c>
      <c r="D50" s="67" t="str">
        <f>IFERROR(VLOOKUP(B50,Personnel!$A:$R,5,0),"")</f>
        <v/>
      </c>
      <c r="E50" s="67" t="str">
        <f>IFERROR(VLOOKUP(B50,Personnel!$A:$R,6,0),"")</f>
        <v/>
      </c>
      <c r="F50" s="67" t="str">
        <f>IFERROR(VLOOKUP(B50,Personnel!$A:$R,8,0),"")</f>
        <v/>
      </c>
      <c r="G50" s="68" t="str">
        <f>IFERROR(INDEX('Paid-Data'!G:G,MATCH(B50&amp;Identification!C12,_xlfn.CHOOSECOLS('Paid-Data'!A:A,1)&amp;'Paid-Data'!N:N,0)),"")</f>
        <v/>
      </c>
      <c r="H50" s="68"/>
      <c r="I50" s="68" t="str">
        <f t="shared" si="0"/>
        <v/>
      </c>
      <c r="J50" s="67" t="str">
        <f>IFERROR(VLOOKUP(B50,Personnel!$A:$R,11,0),"")</f>
        <v/>
      </c>
      <c r="K50" s="67"/>
      <c r="L50" s="67"/>
    </row>
    <row r="51" spans="1:12" ht="18" customHeight="1" x14ac:dyDescent="0.25">
      <c r="A51" s="69">
        <v>46</v>
      </c>
      <c r="B51" s="69" t="str">
        <f>IFERROR(INDEX('Paid-Data'!$A:$A,MATCH(ROW()-5,'Paid-Data'!$Q:$Q,0)),"")</f>
        <v/>
      </c>
      <c r="C51" s="69" t="str">
        <f>IFERROR(VLOOKUP(B51,Personnel!$A:$R,4,0),"")</f>
        <v/>
      </c>
      <c r="D51" s="69" t="str">
        <f>IFERROR(VLOOKUP(B51,Personnel!$A:$R,5,0),"")</f>
        <v/>
      </c>
      <c r="E51" s="69" t="str">
        <f>IFERROR(VLOOKUP(B51,Personnel!$A:$R,6,0),"")</f>
        <v/>
      </c>
      <c r="F51" s="69" t="str">
        <f>IFERROR(VLOOKUP(B51,Personnel!$A:$R,8,0),"")</f>
        <v/>
      </c>
      <c r="G51" s="70" t="str">
        <f>IFERROR(INDEX('Paid-Data'!G:G,MATCH(B51&amp;Identification!C12,_xlfn.CHOOSECOLS('Paid-Data'!A:A,1)&amp;'Paid-Data'!N:N,0)),"")</f>
        <v/>
      </c>
      <c r="H51" s="70"/>
      <c r="I51" s="70" t="str">
        <f t="shared" si="0"/>
        <v/>
      </c>
      <c r="J51" s="69" t="str">
        <f>IFERROR(VLOOKUP(B51,Personnel!$A:$R,11,0),"")</f>
        <v/>
      </c>
      <c r="K51" s="69"/>
      <c r="L51" s="69"/>
    </row>
    <row r="52" spans="1:12" ht="18" customHeight="1" x14ac:dyDescent="0.25">
      <c r="A52" s="67">
        <v>47</v>
      </c>
      <c r="B52" s="67" t="str">
        <f>IFERROR(INDEX('Paid-Data'!$A:$A,MATCH(ROW()-5,'Paid-Data'!$Q:$Q,0)),"")</f>
        <v/>
      </c>
      <c r="C52" s="67" t="str">
        <f>IFERROR(VLOOKUP(B52,Personnel!$A:$R,4,0),"")</f>
        <v/>
      </c>
      <c r="D52" s="67" t="str">
        <f>IFERROR(VLOOKUP(B52,Personnel!$A:$R,5,0),"")</f>
        <v/>
      </c>
      <c r="E52" s="67" t="str">
        <f>IFERROR(VLOOKUP(B52,Personnel!$A:$R,6,0),"")</f>
        <v/>
      </c>
      <c r="F52" s="67" t="str">
        <f>IFERROR(VLOOKUP(B52,Personnel!$A:$R,8,0),"")</f>
        <v/>
      </c>
      <c r="G52" s="68" t="str">
        <f>IFERROR(INDEX('Paid-Data'!G:G,MATCH(B52&amp;Identification!C12,_xlfn.CHOOSECOLS('Paid-Data'!A:A,1)&amp;'Paid-Data'!N:N,0)),"")</f>
        <v/>
      </c>
      <c r="H52" s="68"/>
      <c r="I52" s="68" t="str">
        <f t="shared" si="0"/>
        <v/>
      </c>
      <c r="J52" s="67" t="str">
        <f>IFERROR(VLOOKUP(B52,Personnel!$A:$R,11,0),"")</f>
        <v/>
      </c>
      <c r="K52" s="67"/>
      <c r="L52" s="67"/>
    </row>
    <row r="53" spans="1:12" ht="18" customHeight="1" x14ac:dyDescent="0.25">
      <c r="A53" s="69">
        <v>48</v>
      </c>
      <c r="B53" s="69" t="str">
        <f>IFERROR(INDEX('Paid-Data'!$A:$A,MATCH(ROW()-5,'Paid-Data'!$Q:$Q,0)),"")</f>
        <v/>
      </c>
      <c r="C53" s="69" t="str">
        <f>IFERROR(VLOOKUP(B53,Personnel!$A:$R,4,0),"")</f>
        <v/>
      </c>
      <c r="D53" s="69" t="str">
        <f>IFERROR(VLOOKUP(B53,Personnel!$A:$R,5,0),"")</f>
        <v/>
      </c>
      <c r="E53" s="69" t="str">
        <f>IFERROR(VLOOKUP(B53,Personnel!$A:$R,6,0),"")</f>
        <v/>
      </c>
      <c r="F53" s="69" t="str">
        <f>IFERROR(VLOOKUP(B53,Personnel!$A:$R,8,0),"")</f>
        <v/>
      </c>
      <c r="G53" s="70" t="str">
        <f>IFERROR(INDEX('Paid-Data'!G:G,MATCH(B53&amp;Identification!C12,_xlfn.CHOOSECOLS('Paid-Data'!A:A,1)&amp;'Paid-Data'!N:N,0)),"")</f>
        <v/>
      </c>
      <c r="H53" s="70"/>
      <c r="I53" s="70" t="str">
        <f t="shared" si="0"/>
        <v/>
      </c>
      <c r="J53" s="69" t="str">
        <f>IFERROR(VLOOKUP(B53,Personnel!$A:$R,11,0),"")</f>
        <v/>
      </c>
      <c r="K53" s="69"/>
      <c r="L53" s="69"/>
    </row>
    <row r="55" spans="1:12" ht="21.95" customHeight="1" x14ac:dyDescent="0.25">
      <c r="A55" s="145" t="s">
        <v>241</v>
      </c>
      <c r="B55" s="126"/>
      <c r="C55" s="126"/>
      <c r="D55" s="126"/>
      <c r="E55" s="126"/>
      <c r="F55" s="126"/>
      <c r="G55" s="71">
        <f>SUM(G6:G54)</f>
        <v>0</v>
      </c>
      <c r="H55" s="71">
        <f>SUM(H6:H54)</f>
        <v>0</v>
      </c>
      <c r="I55" s="71">
        <f>SUM(I6:I54)</f>
        <v>0</v>
      </c>
    </row>
  </sheetData>
  <mergeCells count="3">
    <mergeCell ref="A1:L2"/>
    <mergeCell ref="A3:F3"/>
    <mergeCell ref="A55:F55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38B99-9669-440C-B353-48F64938F894}">
  <sheetPr codeName="Feuil8">
    <tabColor rgb="FF95B3D7"/>
  </sheetPr>
  <dimension ref="A1:T1"/>
  <sheetViews>
    <sheetView workbookViewId="0">
      <selection activeCell="A2" sqref="A2"/>
    </sheetView>
  </sheetViews>
  <sheetFormatPr baseColWidth="10" defaultRowHeight="15" x14ac:dyDescent="0.25"/>
  <cols>
    <col min="1" max="20" width="14.7109375" customWidth="1"/>
  </cols>
  <sheetData>
    <row r="1" spans="1:20" ht="27.95" customHeight="1" x14ac:dyDescent="0.25">
      <c r="A1" s="66" t="s">
        <v>126</v>
      </c>
      <c r="B1" s="66" t="s">
        <v>128</v>
      </c>
      <c r="C1" s="66" t="s">
        <v>184</v>
      </c>
      <c r="D1" s="66" t="s">
        <v>130</v>
      </c>
      <c r="E1" s="66" t="s">
        <v>185</v>
      </c>
      <c r="F1" s="66" t="s">
        <v>236</v>
      </c>
      <c r="G1" s="66" t="s">
        <v>225</v>
      </c>
      <c r="H1" s="66" t="s">
        <v>242</v>
      </c>
      <c r="I1" s="66" t="s">
        <v>243</v>
      </c>
      <c r="J1" s="66" t="s">
        <v>238</v>
      </c>
      <c r="K1" s="66" t="s">
        <v>244</v>
      </c>
      <c r="L1" s="66" t="s">
        <v>245</v>
      </c>
      <c r="M1" s="66" t="s">
        <v>246</v>
      </c>
      <c r="N1" s="66" t="s">
        <v>1</v>
      </c>
      <c r="O1" s="66" t="s">
        <v>3</v>
      </c>
      <c r="P1" s="66" t="s">
        <v>247</v>
      </c>
      <c r="Q1" s="66" t="s">
        <v>44</v>
      </c>
      <c r="R1" s="66" t="s">
        <v>135</v>
      </c>
      <c r="S1" s="66" t="s">
        <v>239</v>
      </c>
      <c r="T1" s="66" t="s">
        <v>248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12BD0-4B79-42BD-AA75-6F4CF222B1B4}">
  <sheetPr codeName="Feuil9"/>
  <dimension ref="A1:B19"/>
  <sheetViews>
    <sheetView workbookViewId="0"/>
  </sheetViews>
  <sheetFormatPr baseColWidth="10"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>
        <v>2026</v>
      </c>
    </row>
    <row r="4" spans="1:2" x14ac:dyDescent="0.25">
      <c r="A4" t="s">
        <v>4</v>
      </c>
      <c r="B4">
        <f>COUNTA(Personnel!A2:A99999)+1</f>
        <v>10</v>
      </c>
    </row>
    <row r="5" spans="1:2" x14ac:dyDescent="0.25">
      <c r="A5" t="s">
        <v>5</v>
      </c>
      <c r="B5">
        <f>COUNTA(Personnel!A2:A99999)</f>
        <v>9</v>
      </c>
    </row>
    <row r="8" spans="1:2" x14ac:dyDescent="0.25">
      <c r="A8" t="s">
        <v>6</v>
      </c>
      <c r="B8">
        <v>1</v>
      </c>
    </row>
    <row r="9" spans="1:2" x14ac:dyDescent="0.25">
      <c r="A9" t="s">
        <v>7</v>
      </c>
      <c r="B9">
        <v>2</v>
      </c>
    </row>
    <row r="10" spans="1:2" x14ac:dyDescent="0.25">
      <c r="A10" t="s">
        <v>8</v>
      </c>
      <c r="B10">
        <v>3</v>
      </c>
    </row>
    <row r="11" spans="1:2" x14ac:dyDescent="0.25">
      <c r="A11" t="s">
        <v>2</v>
      </c>
      <c r="B11">
        <v>4</v>
      </c>
    </row>
    <row r="12" spans="1:2" x14ac:dyDescent="0.25">
      <c r="A12" t="s">
        <v>9</v>
      </c>
      <c r="B12">
        <v>5</v>
      </c>
    </row>
    <row r="13" spans="1:2" x14ac:dyDescent="0.25">
      <c r="A13" t="s">
        <v>10</v>
      </c>
      <c r="B13">
        <v>6</v>
      </c>
    </row>
    <row r="14" spans="1:2" x14ac:dyDescent="0.25">
      <c r="A14" t="s">
        <v>11</v>
      </c>
      <c r="B14">
        <v>7</v>
      </c>
    </row>
    <row r="15" spans="1:2" x14ac:dyDescent="0.25">
      <c r="A15" t="s">
        <v>12</v>
      </c>
      <c r="B15">
        <v>8</v>
      </c>
    </row>
    <row r="16" spans="1:2" x14ac:dyDescent="0.25">
      <c r="A16" t="s">
        <v>13</v>
      </c>
      <c r="B16">
        <v>9</v>
      </c>
    </row>
    <row r="17" spans="1:2" x14ac:dyDescent="0.25">
      <c r="A17" t="s">
        <v>14</v>
      </c>
      <c r="B17">
        <v>10</v>
      </c>
    </row>
    <row r="18" spans="1:2" x14ac:dyDescent="0.25">
      <c r="A18" t="s">
        <v>15</v>
      </c>
      <c r="B18">
        <v>11</v>
      </c>
    </row>
    <row r="19" spans="1:2" x14ac:dyDescent="0.25">
      <c r="A19" t="s">
        <v>16</v>
      </c>
      <c r="B19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Welcome</vt:lpstr>
      <vt:lpstr>Identification</vt:lpstr>
      <vt:lpstr>Rubriques</vt:lpstr>
      <vt:lpstr>Personnel</vt:lpstr>
      <vt:lpstr>Saisie</vt:lpstr>
      <vt:lpstr>Bulletin</vt:lpstr>
      <vt:lpstr>Synthèse</vt:lpstr>
      <vt:lpstr>Paid-Data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 JLADOU</dc:creator>
  <cp:lastModifiedBy>Mehdi JLADOU</cp:lastModifiedBy>
  <cp:lastPrinted>2026-05-25T22:27:37Z</cp:lastPrinted>
  <dcterms:created xsi:type="dcterms:W3CDTF">2026-05-25T22:19:52Z</dcterms:created>
  <dcterms:modified xsi:type="dcterms:W3CDTF">2026-05-25T22:40:11Z</dcterms:modified>
</cp:coreProperties>
</file>